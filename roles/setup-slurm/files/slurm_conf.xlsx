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wsl.localhost\Ubuntu\home\jsequeira\vs_projects\ansible-puli\roles\setup-slurm\files\"/>
    </mc:Choice>
  </mc:AlternateContent>
  <xr:revisionPtr revIDLastSave="0" documentId="13_ncr:1_{E3AF8299-72AD-4533-80F4-5332C380EA21}" xr6:coauthVersionLast="47" xr6:coauthVersionMax="47" xr10:uidLastSave="{00000000-0000-0000-0000-000000000000}"/>
  <bookViews>
    <workbookView xWindow="28680" yWindow="-120" windowWidth="29040" windowHeight="15720" firstSheet="1" activeTab="2" xr2:uid="{787EF645-FDEF-D749-B29A-8997BAA1BD7D}"/>
  </bookViews>
  <sheets>
    <sheet name="code" sheetId="4" r:id="rId1"/>
    <sheet name="slurm.conf" sheetId="1" r:id="rId2"/>
    <sheet name="slurmdbd.conf" sheetId="15" r:id="rId3"/>
    <sheet name="acct_gather.conf" sheetId="3" r:id="rId4"/>
    <sheet name="cgroup.conf" sheetId="5" r:id="rId5"/>
    <sheet name="job_container.conf" sheetId="6" r:id="rId6"/>
    <sheet name="topology.conf" sheetId="19" r:id="rId7"/>
    <sheet name="x helpers.conf" sheetId="7" r:id="rId8"/>
    <sheet name="x nss_slurm.conf" sheetId="9" r:id="rId9"/>
    <sheet name="x mpi.conf" sheetId="11" r:id="rId10"/>
    <sheet name="x plugstack.conf"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1" i="1" l="1"/>
</calcChain>
</file>

<file path=xl/sharedStrings.xml><?xml version="1.0" encoding="utf-8"?>
<sst xmlns="http://schemas.openxmlformats.org/spreadsheetml/2006/main" count="764" uniqueCount="645">
  <si>
    <t>Parameter</t>
  </si>
  <si>
    <t>Value</t>
  </si>
  <si>
    <t>Comments</t>
  </si>
  <si>
    <t>AccountingStorageBackupHost</t>
  </si>
  <si>
    <t>AccountingStorageEnforce</t>
  </si>
  <si>
    <t>associations</t>
  </si>
  <si>
    <t>AccountingStorageExternalHost</t>
  </si>
  <si>
    <t>AccountingStorageHost</t>
  </si>
  <si>
    <t>AccountingStorageParameters</t>
  </si>
  <si>
    <t>AccountingStoragePass</t>
  </si>
  <si>
    <t>AccountingStoragePort</t>
  </si>
  <si>
    <t>AccountingStorageTRES</t>
  </si>
  <si>
    <t>AccountingStorageType</t>
  </si>
  <si>
    <t>AccountingStorageUser</t>
  </si>
  <si>
    <t>AccountingStoreFlags</t>
  </si>
  <si>
    <t>AcctGatherNodeFreq</t>
  </si>
  <si>
    <t>AcctGatherEnergyType</t>
  </si>
  <si>
    <t>AcctGatherInterconnectType</t>
  </si>
  <si>
    <t>AcctGatherFilesystemType</t>
  </si>
  <si>
    <t>AcctGatherProfileType</t>
  </si>
  <si>
    <t>AllowSpecResourcesUsage</t>
  </si>
  <si>
    <t>AuthAltTypes</t>
  </si>
  <si>
    <t>AuthAltParameters</t>
  </si>
  <si>
    <t>AuthInfo</t>
  </si>
  <si>
    <t>AuthType</t>
  </si>
  <si>
    <t>BackupAddr</t>
  </si>
  <si>
    <t>BackupController</t>
  </si>
  <si>
    <t>BatchStartTimeout</t>
  </si>
  <si>
    <t>BcastExclude</t>
  </si>
  <si>
    <t>BcastParameters</t>
  </si>
  <si>
    <t>BurstBufferType</t>
  </si>
  <si>
    <t>CliFilterPlugins</t>
  </si>
  <si>
    <t>ClusterName</t>
  </si>
  <si>
    <t>CommunicationParameters</t>
  </si>
  <si>
    <t>CompleteWait</t>
  </si>
  <si>
    <t>ControlAddr</t>
  </si>
  <si>
    <t>ControlMachine</t>
  </si>
  <si>
    <t>CpuFreqDef</t>
  </si>
  <si>
    <t>CpuFreqGovernors</t>
  </si>
  <si>
    <t>CredType</t>
  </si>
  <si>
    <t>DataParserParameters</t>
  </si>
  <si>
    <t>DebugFlags</t>
  </si>
  <si>
    <t>DefCpuPerGPU</t>
  </si>
  <si>
    <t>DefMemPerCPU</t>
  </si>
  <si>
    <t>DefMemPerGPU</t>
  </si>
  <si>
    <t>DefMemPerNode</t>
  </si>
  <si>
    <t>DependencyParameters</t>
  </si>
  <si>
    <t>DisableRootJobs</t>
  </si>
  <si>
    <t>EioTimeout</t>
  </si>
  <si>
    <t>EnforcePartLimits</t>
  </si>
  <si>
    <t>Epilog</t>
  </si>
  <si>
    <t>EpilogMsgTime</t>
  </si>
  <si>
    <t>EpilogSlurmctld</t>
  </si>
  <si>
    <t>FairShareDampeningFactor</t>
  </si>
  <si>
    <t>FederationParameters</t>
  </si>
  <si>
    <t>FirstJobId</t>
  </si>
  <si>
    <t>GetEnvTimeout</t>
  </si>
  <si>
    <t>GresTypes</t>
  </si>
  <si>
    <t>GroupUpdateForce</t>
  </si>
  <si>
    <t>GroupUpdateTime</t>
  </si>
  <si>
    <t>GpuFreqDef</t>
  </si>
  <si>
    <t>HashPlugin</t>
  </si>
  <si>
    <t>HealthCheckInterval</t>
  </si>
  <si>
    <t>HealthCheckNodeState</t>
  </si>
  <si>
    <t>HealthCheckProgram</t>
  </si>
  <si>
    <t>InactiveLimit</t>
  </si>
  <si>
    <t>InteractiveStepOptions</t>
  </si>
  <si>
    <t>JobAcctGatherType</t>
  </si>
  <si>
    <t>JobAcctGatherFrequency</t>
  </si>
  <si>
    <t>JobAcctGatherParams</t>
  </si>
  <si>
    <t>JobCompHost</t>
  </si>
  <si>
    <t>JobCompLoc</t>
  </si>
  <si>
    <t>JobCompParams</t>
  </si>
  <si>
    <t>JobCompPass</t>
  </si>
  <si>
    <t>JobCompPort</t>
  </si>
  <si>
    <t>JobCompType</t>
  </si>
  <si>
    <t>JobCompUser</t>
  </si>
  <si>
    <t>JobContainerType</t>
  </si>
  <si>
    <t>JobFileAppend</t>
  </si>
  <si>
    <t>JobRequeue</t>
  </si>
  <si>
    <t>JobSubmitPlugins</t>
  </si>
  <si>
    <t>KillOnBadExit</t>
  </si>
  <si>
    <t>KillWait</t>
  </si>
  <si>
    <t>MaxBatchRequeue</t>
  </si>
  <si>
    <t>NodeFeaturesPlugins</t>
  </si>
  <si>
    <t>LaunchParameters</t>
  </si>
  <si>
    <t>Licenses</t>
  </si>
  <si>
    <t>LogTimeFormat</t>
  </si>
  <si>
    <t>MailDomain</t>
  </si>
  <si>
    <t>MailProg</t>
  </si>
  <si>
    <t>MaxArraySize</t>
  </si>
  <si>
    <t>MaxDBDMsgs</t>
  </si>
  <si>
    <t>MaxJobCount</t>
  </si>
  <si>
    <t>MaxJobId</t>
  </si>
  <si>
    <t>MaxMemPerCPU</t>
  </si>
  <si>
    <t>MaxMemPerNode</t>
  </si>
  <si>
    <t>MaxNodeCount</t>
  </si>
  <si>
    <t>MaxStepCount</t>
  </si>
  <si>
    <t>MaxTasksPerNode</t>
  </si>
  <si>
    <t>MCSParameters</t>
  </si>
  <si>
    <t>MCSPlugin</t>
  </si>
  <si>
    <t>MessageTimeout</t>
  </si>
  <si>
    <t>MinJobAge</t>
  </si>
  <si>
    <t>MpiDefault</t>
  </si>
  <si>
    <t>MpiParams</t>
  </si>
  <si>
    <t>OverTimeLimit</t>
  </si>
  <si>
    <t>PluginDir</t>
  </si>
  <si>
    <t>PlugStackConfig</t>
  </si>
  <si>
    <t>PreemptMode</t>
  </si>
  <si>
    <t>PreemptParameters</t>
  </si>
  <si>
    <t>PreemptType</t>
  </si>
  <si>
    <t>PreemptExemptTime</t>
  </si>
  <si>
    <t>PrEpParameters</t>
  </si>
  <si>
    <t>PrEpPlugins</t>
  </si>
  <si>
    <t>PriorityCalcPeriod</t>
  </si>
  <si>
    <t>PriorityDecayHalfLife</t>
  </si>
  <si>
    <t>PriorityFavorSmall</t>
  </si>
  <si>
    <t>PriorityFlags</t>
  </si>
  <si>
    <t>PriorityMaxAge</t>
  </si>
  <si>
    <t>PriorityParameters</t>
  </si>
  <si>
    <t>PrioritySiteFactorParameters</t>
  </si>
  <si>
    <t>PrioritySiteFactorPlugin</t>
  </si>
  <si>
    <t>PriorityType</t>
  </si>
  <si>
    <t>PriorityUsageResetPeriod</t>
  </si>
  <si>
    <t>PriorityWeightAge</t>
  </si>
  <si>
    <t>PriorityWeightAssoc</t>
  </si>
  <si>
    <t>PriorityWeightFairshare</t>
  </si>
  <si>
    <t>PriorityWeightJobSize</t>
  </si>
  <si>
    <t>PriorityWeightPartition</t>
  </si>
  <si>
    <t>PriorityWeightQOS</t>
  </si>
  <si>
    <t>PriorityWeightTRES</t>
  </si>
  <si>
    <t>PrivateData</t>
  </si>
  <si>
    <t>ProctrackType</t>
  </si>
  <si>
    <t>Prolog</t>
  </si>
  <si>
    <t>PrologEpilogTimeout</t>
  </si>
  <si>
    <t>PrologFlags</t>
  </si>
  <si>
    <t>PrologSlurmctld</t>
  </si>
  <si>
    <t>PropagatePrioProcess</t>
  </si>
  <si>
    <t>PropagateResourceLimits</t>
  </si>
  <si>
    <t>PropagateResourceLimitsExcept</t>
  </si>
  <si>
    <t>RebootProgram</t>
  </si>
  <si>
    <t>ReconfigFlags</t>
  </si>
  <si>
    <t>RequeueExit</t>
  </si>
  <si>
    <t>RequeueExitHold</t>
  </si>
  <si>
    <t>ResumeFailProgram</t>
  </si>
  <si>
    <t>ResumeProgram</t>
  </si>
  <si>
    <t>ResumeRate</t>
  </si>
  <si>
    <t>ResumeTimeout</t>
  </si>
  <si>
    <t>ResvEpilog</t>
  </si>
  <si>
    <t>ResvOverRun</t>
  </si>
  <si>
    <t>ResvProlog</t>
  </si>
  <si>
    <t>ReturnToService</t>
  </si>
  <si>
    <t>SchedulerParameters</t>
  </si>
  <si>
    <t>SchedulerTimeSlice</t>
  </si>
  <si>
    <t>SchedulerType</t>
  </si>
  <si>
    <t>ScronParameters</t>
  </si>
  <si>
    <t>SelectType</t>
  </si>
  <si>
    <t>SelectTypeParameters</t>
  </si>
  <si>
    <t>SlurmctldAddr</t>
  </si>
  <si>
    <t>SlurmctldDebug</t>
  </si>
  <si>
    <t>SlurmctldHost</t>
  </si>
  <si>
    <t>SlurmctldLogFile</t>
  </si>
  <si>
    <t>SlurmctldParameters</t>
  </si>
  <si>
    <t>SlurmctldPidFile</t>
  </si>
  <si>
    <t>SlurmctldPort</t>
  </si>
  <si>
    <t>SlurmctldPrimaryOffProg</t>
  </si>
  <si>
    <t>SlurmctldPrimaryOnProg</t>
  </si>
  <si>
    <t>SlurmctldSyslogDebug</t>
  </si>
  <si>
    <t>SlurmctldTimeout</t>
  </si>
  <si>
    <t>SlurmdDebug</t>
  </si>
  <si>
    <t>SlurmdLogFile</t>
  </si>
  <si>
    <t>SlurmdParameters</t>
  </si>
  <si>
    <t>SlurmdPidFile</t>
  </si>
  <si>
    <t>SlurmdPort</t>
  </si>
  <si>
    <t>SlurmdSpoolDir</t>
  </si>
  <si>
    <t>SlurmdSyslogDebug</t>
  </si>
  <si>
    <t>SlurmdTimeout</t>
  </si>
  <si>
    <t>SlurmdUser</t>
  </si>
  <si>
    <t>SlurmSchedLogFile</t>
  </si>
  <si>
    <t>SlurmSchedLogLevel</t>
  </si>
  <si>
    <t>SlurmUser</t>
  </si>
  <si>
    <t>SrunEpilog</t>
  </si>
  <si>
    <t>SrunPortRange</t>
  </si>
  <si>
    <t>SrunProlog</t>
  </si>
  <si>
    <t>StateSaveLocation</t>
  </si>
  <si>
    <t>SuspendExcNodes</t>
  </si>
  <si>
    <t>SuspendExcParts</t>
  </si>
  <si>
    <t>SuspendExcStates</t>
  </si>
  <si>
    <t>SuspendProgram</t>
  </si>
  <si>
    <t>SuspendRate</t>
  </si>
  <si>
    <t>SuspendTime</t>
  </si>
  <si>
    <t>SuspendTimeout</t>
  </si>
  <si>
    <t>SwitchParameters</t>
  </si>
  <si>
    <t>SwitchType</t>
  </si>
  <si>
    <t>TaskEpilog</t>
  </si>
  <si>
    <t>TaskPlugin</t>
  </si>
  <si>
    <t>TaskPluginParam</t>
  </si>
  <si>
    <t>TaskProlog</t>
  </si>
  <si>
    <t>TCPTimeout</t>
  </si>
  <si>
    <t>TmpFS</t>
  </si>
  <si>
    <t>TopologyParam</t>
  </si>
  <si>
    <t>TopologyPlugin</t>
  </si>
  <si>
    <t>TrackWCKey</t>
  </si>
  <si>
    <t>TreeWidth</t>
  </si>
  <si>
    <t>UnkillableStepProgram</t>
  </si>
  <si>
    <t>UnkillableStepTimeout</t>
  </si>
  <si>
    <t>UsePAM</t>
  </si>
  <si>
    <t>VSizeFactor</t>
  </si>
  <si>
    <t>WaitTime</t>
  </si>
  <si>
    <t>X11Parameters</t>
  </si>
  <si>
    <t>auth/munge</t>
  </si>
  <si>
    <t>sched/backfill</t>
  </si>
  <si>
    <t>select/cons_tres</t>
  </si>
  <si>
    <t>NodeName</t>
  </si>
  <si>
    <t>mps=cuda+RT+tensor=10752+336+84=11172 maximum number of processes that can be run on the GPU; decided to do sharding instead, see https://groups.google.com/g/slurm-users/c/3axnt5Wshkg and https://slurm.schedmd.com/gres.html#Sharding -&gt; 11172*2=22344</t>
  </si>
  <si>
    <t>Will not have backup for now</t>
  </si>
  <si>
    <t xml:space="preserve">I think this will not be necessary if using the default slurmdbd. </t>
  </si>
  <si>
    <t>Dunno if it will be necessary. Everywhere I look I only see (null)</t>
  </si>
  <si>
    <t>/var/run/munge/global.socket.2</t>
  </si>
  <si>
    <t>Documentation says should be something like this if using MUNGE and SlurmDBD.</t>
  </si>
  <si>
    <r>
      <t xml:space="preserve">Default value. </t>
    </r>
    <r>
      <rPr>
        <u/>
        <sz val="12"/>
        <color theme="1"/>
        <rFont val="Calibri"/>
        <family val="2"/>
        <charset val="238"/>
        <scheme val="minor"/>
      </rPr>
      <t>This value must be equal to the DbdPort parameter in the slurmdbd.conf file.</t>
    </r>
  </si>
  <si>
    <t>gres/gpu,gres/shard</t>
  </si>
  <si>
    <t>This value adds GPU and shards to default monitored TRES (Billing, CPU, Energy, Memory, Node, FS/Disk, Pages and VMem).</t>
  </si>
  <si>
    <t>priority/multifactor</t>
  </si>
  <si>
    <t>7-0</t>
  </si>
  <si>
    <t>Half life is seven days.</t>
  </si>
  <si>
    <t>PartitionName</t>
  </si>
  <si>
    <t>accounting_storage/slurmdbd</t>
  </si>
  <si>
    <t>Accounting records will be written to the Slurm DBD.</t>
  </si>
  <si>
    <r>
      <t>Means "No new job is allowed to run unless a corresponding association exists in the system".</t>
    </r>
    <r>
      <rPr>
        <sz val="12"/>
        <color rgb="FFFF0000"/>
        <rFont val="Calibri"/>
        <family val="2"/>
        <charset val="238"/>
        <scheme val="minor"/>
      </rPr>
      <t xml:space="preserve"> </t>
    </r>
    <r>
      <rPr>
        <sz val="12"/>
        <color rgb="FF7030A0"/>
        <rFont val="Calibri"/>
        <family val="2"/>
        <charset val="238"/>
        <scheme val="minor"/>
      </rPr>
      <t>QoS to be set in the future</t>
    </r>
  </si>
  <si>
    <t>Color code explained</t>
  </si>
  <si>
    <t>Fine for now.</t>
  </si>
  <si>
    <t>Need to change when implementing in the cluster.</t>
  </si>
  <si>
    <t>job_comment,job_env,job_extra,job_script</t>
  </si>
  <si>
    <t>For now will include all of them, for easier debugging. In the future might remove this entirely.</t>
  </si>
  <si>
    <t>Accounting sampling interval for nodes (in seconds). Lets see how this works.</t>
  </si>
  <si>
    <t>acct_gather_energy/ipmi</t>
  </si>
  <si>
    <t>Collecting energy consumption might be interesting. It will be collected by the BMC, using the IPMI.</t>
  </si>
  <si>
    <t>EnergyIPMIFrequency</t>
  </si>
  <si>
    <t>Should be higher or equal to JobAcctGatherFrequency.</t>
  </si>
  <si>
    <t>EnergyIPMICalcAdjustment</t>
  </si>
  <si>
    <t>Default is "no".</t>
  </si>
  <si>
    <t>EnergyIPMIPowerSensors</t>
  </si>
  <si>
    <t>Node=16,19,23,26;Socket0=16,23;Socket1=19,26;SSUP=23,26;KNC=16,19</t>
  </si>
  <si>
    <t>Have to talk with Feri about this.</t>
  </si>
  <si>
    <t>EnergyIPMIUsername</t>
  </si>
  <si>
    <t>EnergyIPMIPassword</t>
  </si>
  <si>
    <t>Don't feel like this is relevant for now. But lets see after experimental phase.</t>
  </si>
  <si>
    <t>If I end up implementing Lustre, will use the "acct_gather_filesystem/lustre" value. But for now, keep it simple, and no accounting on this. Though Lustre seems complicated: https://www.reddit.com/r/HPC/comments/16mt6p8/lustre_for_llm_training_storage_system_go_or_no/</t>
  </si>
  <si>
    <t>acct_gather_profile/hdf5</t>
  </si>
  <si>
    <t>ProfileHDF5Dir</t>
  </si>
  <si>
    <t>ProfileHDF5Default</t>
  </si>
  <si>
    <t>All</t>
  </si>
  <si>
    <t>NO</t>
  </si>
  <si>
    <t>Ours is not a Cray system, so default is "NO".</t>
  </si>
  <si>
    <t>Comma-separated list of alternative authentication plugins that the slurmctld will permit for communication. We want none.</t>
  </si>
  <si>
    <t>Again, we want no alternative authentication plugins.</t>
  </si>
  <si>
    <t>For now will use default values, only need to revisit if authentication is timing out because default waiting periods are too tight.</t>
  </si>
  <si>
    <t>This is default value also.</t>
  </si>
  <si>
    <t>Deprecated.</t>
  </si>
  <si>
    <t>Default is 10 seconds.</t>
  </si>
  <si>
    <t>Default is "/lib,/usr/lib,/lib64,/usr/lib64"</t>
  </si>
  <si>
    <t>For now, default values seem fine.</t>
  </si>
  <si>
    <t>This is used to set Lua scripts for some stages of job running. For now it's way too much customization for my level of knowledge. See https://slurm.schedmd.com/burst_buffer.html</t>
  </si>
  <si>
    <t>burst_buffer/none</t>
  </si>
  <si>
    <t>cli_filter plugins provide programmatic hooks during the execution of the salloc, sbatch, and srun commands. See https://slurm.schedmd.com/cli_filter_plugins.html</t>
  </si>
  <si>
    <t>See: https://slurm.schedmd.com/SUG13/profile_hdf5.pdf</t>
  </si>
  <si>
    <t>Default is zero, and if KillWait does its job, it should  be enough.</t>
  </si>
  <si>
    <t>Don't think this should be set, as we will get many different jobs, with different needs. Default is to use what is specified by the job if something is, otherwise use system default. See: https://www.kernel.org/doc/Documentation/cpu-freq/governors.txt</t>
  </si>
  <si>
    <t>Defaults allowed as options that push the machines, and that seems fine. Make those servers work!</t>
  </si>
  <si>
    <t>Default is to use Munge as cryptographic signature tool in the creation of job step credentials.</t>
  </si>
  <si>
    <t>This is a recent parameter, and there are no examples online. Default is to not specify default parameters for users commands, and that is fine.</t>
  </si>
  <si>
    <t>Maybe will need this for the experimental phase for debugging, to be seen.</t>
  </si>
  <si>
    <t>It is wildly dependent on users jobs, so for now will trust and see how things go</t>
  </si>
  <si>
    <t>Default is the most common ammount of memory (256G) divided by the most common number of cores (48)</t>
  </si>
  <si>
    <t>Exclusive with "DefMemPerCPU".</t>
  </si>
  <si>
    <t>Could find no info on this online, and doesn't seem important.</t>
  </si>
  <si>
    <t>Default value is "NO".</t>
  </si>
  <si>
    <t>Default is 60 seconds.</t>
  </si>
  <si>
    <t>ALL</t>
  </si>
  <si>
    <t>Forces users to not allocate more resources than available, and will fail job submission otherwise.</t>
  </si>
  <si>
    <t>Default is 2000 microseconds.</t>
  </si>
  <si>
    <t>"a value of 5 will result in a significant difference in priority" when exceeding a user or group's fair share of allocated resources.</t>
  </si>
  <si>
    <t>Federation of clusters is not a concern for now. See: https://slurm.schedmd.com/federation.html</t>
  </si>
  <si>
    <t>Default value is 1.</t>
  </si>
  <si>
    <t>Default value is 2 seconds.</t>
  </si>
  <si>
    <t>Resources to be managed.</t>
  </si>
  <si>
    <t>Default value is 1, which seems fine. Changes in other files besides /etc/group will likely happen regarding partitions, better keep track of all that.</t>
  </si>
  <si>
    <t>Default is 600 seconds.</t>
  </si>
  <si>
    <t>Seems like the higher the better. See: https://vibox.co.uk/blog/gpu-memory-clock-speed-vs-gpu-core-clock-speed</t>
  </si>
  <si>
    <t>high</t>
  </si>
  <si>
    <t>Default is hash/k12, hashes are generated by the KangorooTwelve cryptographic hash function.</t>
  </si>
  <si>
    <t>Default value.</t>
  </si>
  <si>
    <t>ANY</t>
  </si>
  <si>
    <t>In seconds.</t>
  </si>
  <si>
    <t>Default is unlimited. Will leave to users to cancel it manually, for now.</t>
  </si>
  <si>
    <t>Default value is "--interactive --preserve-env --pty $SHELL", and seems enough for now.</t>
  </si>
  <si>
    <t>task=30,energy=30,network=30,filesystem=30</t>
  </si>
  <si>
    <t>30 seconds for each datatype, allows to collect information during job execution and not only at the end. Is does interfere a bit with execution, and will check the effects during the experimental phase, but should increase the interval after experimental phase.</t>
  </si>
  <si>
    <t>This parameter changes how memory is checked (RSS/PSS), and if processes are to be killed if using too much memory. We are not interested in these aspects for now.</t>
  </si>
  <si>
    <t>slurm_jobcomp_db</t>
  </si>
  <si>
    <t>jobcomp/mysql</t>
  </si>
  <si>
    <t>Only relevant for JobCompType=jobcomp/kafka</t>
  </si>
  <si>
    <t>password</t>
  </si>
  <si>
    <t>proctrack/cgroup</t>
  </si>
  <si>
    <t>job_container/tmpfs</t>
  </si>
  <si>
    <t>Contain</t>
  </si>
  <si>
    <t>If set to 1, job's output or error file will be appended to, if they exist. Default is to truncate those files.</t>
  </si>
  <si>
    <t>Default is 1, which allows requeue.</t>
  </si>
  <si>
    <t>CgroupMountpoint</t>
  </si>
  <si>
    <t>CgroupPlugin</t>
  </si>
  <si>
    <t>SystemdTimeout</t>
  </si>
  <si>
    <t>IgnoreSystemd</t>
  </si>
  <si>
    <t>IgnoreSystemdOnFailure</t>
  </si>
  <si>
    <t>EnableControllers</t>
  </si>
  <si>
    <t>AllowedRAMSpace</t>
  </si>
  <si>
    <t>AllowedSwapSpace</t>
  </si>
  <si>
    <t>ConstrainCores</t>
  </si>
  <si>
    <t>ConstrainDevices</t>
  </si>
  <si>
    <t>ConstrainRAMSpace</t>
  </si>
  <si>
    <t>ConstrainSwapSpace</t>
  </si>
  <si>
    <t>MaxRAMPercent</t>
  </si>
  <si>
    <t>MaxSwapPercent</t>
  </si>
  <si>
    <t>MemorySwappiness</t>
  </si>
  <si>
    <t>MinRAMSpace</t>
  </si>
  <si>
    <t>SignalChildrenProcesses</t>
  </si>
  <si>
    <t>Default is /sys/fs/cgroup.</t>
  </si>
  <si>
    <t>Default is "autodetect".</t>
  </si>
  <si>
    <t>Default is 1000 ms</t>
  </si>
  <si>
    <t>"Contain" necessary for "JobContainerType=job_container/tmpfs". See https://slurm.schedmd.com/cgroup_v2.html</t>
  </si>
  <si>
    <t>jobacct_gather/cgroup</t>
  </si>
  <si>
    <t>no</t>
  </si>
  <si>
    <t>"yes" is for development and testing purposes only.</t>
  </si>
  <si>
    <t>Default is 0, i.e., RAM+Swap limited to AllowedRAMSpace.</t>
  </si>
  <si>
    <t>Default is 100, i.e., 100% of total memory.</t>
  </si>
  <si>
    <t>Default is 100 (%).</t>
  </si>
  <si>
    <t>Default is 30M. Prevents accidentally creating a memory cgroup with such a low limit that slurmstepd is immediately killed due to lack of RAM</t>
  </si>
  <si>
    <t>Default is "no", i.e., don't send signals for children processes in job/step to cancel/suspend/resume. Shouldn't be necessary setting to "yes", considering cgroups is tracking all the hierarchy of processes.</t>
  </si>
  <si>
    <t>See if makes sense to keep file here.</t>
  </si>
  <si>
    <t>AutoBasePath</t>
  </si>
  <si>
    <t>BasePath</t>
  </si>
  <si>
    <t>CloneNSScript</t>
  </si>
  <si>
    <t>CloneNSScript_Wait</t>
  </si>
  <si>
    <t>CloneNSEpilog</t>
  </si>
  <si>
    <t>CloneNSEpilog_Wait</t>
  </si>
  <si>
    <t>Dirs</t>
  </si>
  <si>
    <t>EntireStepInNS</t>
  </si>
  <si>
    <t>InitScript</t>
  </si>
  <si>
    <t>Shared</t>
  </si>
  <si>
    <t>With "true", it will create the BasePath directory if it doesn't exist. Seems simpler than adding instructions for creation of the directory</t>
  </si>
  <si>
    <t>true</t>
  </si>
  <si>
    <t>Default is "/tmp,/dev/shm", which seems good. Do note the "/dev/shm" is not a bind mount, but rather a fresh tmpfs filesystem, i.e., files here are stored in memory.</t>
  </si>
  <si>
    <t>Filename of an initialization script, might be interesting to load a module for GPU utilization or something like that.</t>
  </si>
  <si>
    <t>Default is 10 (seconds).</t>
  </si>
  <si>
    <t>Filename of a epilog script, doesn't seem necessary for now.</t>
  </si>
  <si>
    <t>Didn't understand description, and seems not interesting.</t>
  </si>
  <si>
    <t>Same as "CloneNSScript", but before namespace is constructed for the job.</t>
  </si>
  <si>
    <t>Don't need multiple configurations for multiple nodes, the settings here are fine for all servers.</t>
  </si>
  <si>
    <t>false</t>
  </si>
  <si>
    <t>Don't know what to do about this parameter. I see nothing about it online, but I don't like the idea of mixing together job and root filesystems. If it works with "false", will keep it at that.</t>
  </si>
  <si>
    <t>All includes Energy, Filesystem, Network and Task</t>
  </si>
  <si>
    <t>This is the big one. Any rule related to job start can be set from this script, for example, if users want to use 8 GPUs they are relegated to a certain partition (https://www.reddit.com/r/SLURM/comments/ug8h77/). For now, will go with the simplest configuration, just demand timelimit, and use the defaults configured in this file.</t>
  </si>
  <si>
    <t>require_timelimit,defaults,logging</t>
  </si>
  <si>
    <t>If set to 1, a step will be terminated immediately if any task is crashed or aborted.</t>
  </si>
  <si>
    <t>Default is 30 seconds.</t>
  </si>
  <si>
    <t>Default is 5.</t>
  </si>
  <si>
    <t>AllowUserBoot</t>
  </si>
  <si>
    <t>BootTime</t>
  </si>
  <si>
    <t>ExecTime</t>
  </si>
  <si>
    <t>Feature</t>
  </si>
  <si>
    <t>MutuallyExclusive</t>
  </si>
  <si>
    <t>root,slurm</t>
  </si>
  <si>
    <t>Default is 300 seconds.</t>
  </si>
  <si>
    <t>For now won't specify any.</t>
  </si>
  <si>
    <t>For now won't specify any. Our systems will run with no helpers.</t>
  </si>
  <si>
    <t>Should change in the future, ideally at the end of the experimental phase.</t>
  </si>
  <si>
    <t>Seems good for now, but should look better at this eventually.</t>
  </si>
  <si>
    <t>Only needed if the node's hostname does not match the NodeName.</t>
  </si>
  <si>
    <t>Only needed if the SlurmdSpoolDir does not match Slurm's default location of /var/spool/slurmd</t>
  </si>
  <si>
    <t>For now won't specify any. Users must retrieve their own.</t>
  </si>
  <si>
    <t>Default is "iso8601_ms".</t>
  </si>
  <si>
    <t>For now won't use mail server.</t>
  </si>
  <si>
    <t>Default is 1001.</t>
  </si>
  <si>
    <t>Default is 10000.</t>
  </si>
  <si>
    <t>Default is 67,043,328.</t>
  </si>
  <si>
    <t>Default is 0 (unlimited).</t>
  </si>
  <si>
    <t>Limited to the number of servers on the biggest partition (cpu).</t>
  </si>
  <si>
    <t>Default is 40000.</t>
  </si>
  <si>
    <t>Default is 512.</t>
  </si>
  <si>
    <t>Sheets that start with "x" are not being used.</t>
  </si>
  <si>
    <t>For now, users can use the simpler --exclusive option. If MCS was being used, ondemand means means users have to put the "--mcs-label" option when submitting jobs; ondemandselect means nodes are selected on demand with the "--exclusive=mcs" option.</t>
  </si>
  <si>
    <r>
      <t>Multi-Category Security, meant to extend job node exclusivity and job/node information display privacy. "mcs/group" seemed the better option, it means MCS labels can only take a value equal to the job's user group, and everyone on the user group will be able to allocate to that server, which is running in "exclusive" mode. However, for now users will be able to use the --exclusive parameter.</t>
    </r>
    <r>
      <rPr>
        <sz val="12"/>
        <color rgb="FFFF0000"/>
        <rFont val="Calibri"/>
        <family val="2"/>
        <charset val="238"/>
        <scheme val="minor"/>
      </rPr>
      <t xml:space="preserve"> </t>
    </r>
    <r>
      <rPr>
        <sz val="12"/>
        <rFont val="Calibri"/>
        <family val="2"/>
        <charset val="238"/>
        <scheme val="minor"/>
      </rPr>
      <t>See: https://slurm.schedmd.com/SLUG16/MCS.pdf and https://slurm.schedmd.com/mcs.html</t>
    </r>
  </si>
  <si>
    <t>Default is 10 seconds. Must assess if multi-node jobs get the slurmd to be paged out, because it takes more time than that. If so, must increase this value.</t>
  </si>
  <si>
    <t>Default is 300 (seconds).</t>
  </si>
  <si>
    <t>PMIxCliTmpDirBase</t>
  </si>
  <si>
    <t>PMIxCollFence</t>
  </si>
  <si>
    <t>PMIxDebug</t>
  </si>
  <si>
    <t>PMIxDirectConn</t>
  </si>
  <si>
    <t>PMIxDirectConnEarly</t>
  </si>
  <si>
    <t>PMIxDirectConnUCX</t>
  </si>
  <si>
    <t>PMIxDirectSameArch</t>
  </si>
  <si>
    <t>PMIxEnv</t>
  </si>
  <si>
    <t>PMIxFenceBarrier</t>
  </si>
  <si>
    <t>PMIxNetDevicesUCX</t>
  </si>
  <si>
    <t>PMIxTimeout</t>
  </si>
  <si>
    <t>PMIxTlsUCX</t>
  </si>
  <si>
    <t>none</t>
  </si>
  <si>
    <t>Only two parameters available, none seems relevant.</t>
  </si>
  <si>
    <t>Default is 0 (minutes), which is simpler for our tests.</t>
  </si>
  <si>
    <t>Default is the prefix given at configure time + "/lib/slurm".</t>
  </si>
  <si>
    <r>
      <rPr>
        <sz val="12"/>
        <color theme="7" tint="-0.499984740745262"/>
        <rFont val="Calibri"/>
        <family val="2"/>
        <charset val="238"/>
        <scheme val="minor"/>
      </rPr>
      <t>"none" is default, and works for many versions of MPI. For now will use OpenMPI (installed through the WW guide) because it is simpler, and can work with any type of cable - ethernet, OmniPath, Infiniband, … However, MVAPICH2 is more specialized, and might use it in the future.</t>
    </r>
    <r>
      <rPr>
        <sz val="12"/>
        <color rgb="FF7030A0"/>
        <rFont val="Calibri"/>
        <family val="2"/>
        <scheme val="minor"/>
      </rPr>
      <t xml:space="preserve"> </t>
    </r>
    <r>
      <rPr>
        <sz val="12"/>
        <color theme="1"/>
        <rFont val="Calibri"/>
        <family val="2"/>
        <charset val="238"/>
        <scheme val="minor"/>
      </rPr>
      <t>See: https://slurm.schedmd.com/SC17/PMIx-SC17.pdf and https://slurm.schedmd.com/SC17/Mellanox_Slurm_pmix_UCX_backend_v4.pdf</t>
    </r>
  </si>
  <si>
    <t>For now we will not be using PMIx. But this might change after experimentation.</t>
  </si>
  <si>
    <t>Could't find an example of a plugstack.conf file (maybe https://github.com/stanford-rc/slurm-spank-stunnel/blob/master/plugstack.conf, but it's empty in practical content). Besides, SPANK for now won't be used.</t>
  </si>
  <si>
    <t>Will not preempt for now.</t>
  </si>
  <si>
    <t>Default is OFF. Will not preempt for now.</t>
  </si>
  <si>
    <t>Default is preempt/none. Will not preempt for now.</t>
  </si>
  <si>
    <r>
      <t>Default is plugstack.conf, but I hope it can run without the file. SPANK doesn't seem necessary for now.</t>
    </r>
    <r>
      <rPr>
        <sz val="12"/>
        <rFont val="Calibri"/>
        <family val="2"/>
        <charset val="238"/>
        <scheme val="minor"/>
      </rPr>
      <t xml:space="preserve"> See: https://slurm.schedmd.com/spank.html</t>
    </r>
  </si>
  <si>
    <t>Will not use more PrEp (Prolog/Epilog) funcitons/scripts for now. See: https://slurm.schedmd.com/prep_plugins.html</t>
  </si>
  <si>
    <t>Default is prep/script. But for now will not use it.</t>
  </si>
  <si>
    <t>Default is 5 (minutes).</t>
  </si>
  <si>
    <t>Default is "NO", smaller jobs should be favored when scheduling.</t>
  </si>
  <si>
    <t>For now will not modify the basic backfilling of Slurm, lets keep things simple.</t>
  </si>
  <si>
    <t>Default is 7-0 (7 days).</t>
  </si>
  <si>
    <t>Default nothing is fine.</t>
  </si>
  <si>
    <t>Default is "site_factor/none", and this is FINE.</t>
  </si>
  <si>
    <t>Jobs are assigned priority by size, age, Fairshare, etc. In our cluster, for now, mostly default parameters will apply.</t>
  </si>
  <si>
    <t>We use "PriorityDecayHalfLife" instead of this, which is turned off by default.</t>
  </si>
  <si>
    <t>How much time waiting in the queue should factor into priority.</t>
  </si>
  <si>
    <t>How much past resources usage affects priority.</t>
  </si>
  <si>
    <t>Default is 0, and is fine. We are not expecting to use associations for purposes of priority of jobs.</t>
  </si>
  <si>
    <t>Default is 0, jobs can be as fat as they want, as long as there are resources for them. We shouldn't see smaller jobs stuck because of this, since we are using backfilling. But lets see.</t>
  </si>
  <si>
    <t>Default is 0, partitions are not to be used in priority calculations.</t>
  </si>
  <si>
    <t>Default is 0. We are not using QOS for now.</t>
  </si>
  <si>
    <t>Again, we want users to use the cluster as much as possible, for now. So, on the wave of TRES, we will only consider a bundle of all of them in the shape of Fairshare.</t>
  </si>
  <si>
    <t>accounts,events,jobs,reservations,usage,users</t>
  </si>
  <si>
    <t>All information related to other users is hidden, information on nodes and partitions is visible.</t>
  </si>
  <si>
    <t>Default is to wait indefinitely. But might be worth a change.</t>
  </si>
  <si>
    <t>This program executes before a job is allocated, but after the resources have been allocated. Might be interesting to implement in the future.</t>
  </si>
  <si>
    <t>Script to execute as SlurmUser after a job is allocated, but before job starts. Might be interesting in the future.</t>
  </si>
  <si>
    <t>Default is 0, "tasks will inherit the scheduling priority from the slurm daemon." Other options pertain to giving priority based on srun or sbatch, which seems too finely grained for now.</t>
  </si>
  <si>
    <t>Specify here which limits from the previous parameter shouldn't be propagated. Default is to propagate all.</t>
  </si>
  <si>
    <t>Program to be executed on each compute node to reboot it, usually at /sbin/reboot. For now will configure none.</t>
  </si>
  <si>
    <t>Parameters added to "scontrol reconfig", the command that re-runs all configuration asset in the current slurm.conf file. All possible values are for keeping some configurations as they are, which might be good for consistency, but for now I will not limit the scontrol reconfig command.</t>
  </si>
  <si>
    <t>To see if some commands get specific exit codes that might be interesting to be added here. Although I doubt it, we wont have that so repetitive jobs that a special exit code is special enough to warrant a requeue, if it fails, users submit again and that's it.</t>
  </si>
  <si>
    <t>Same as line 140, if commands have a non-zero exit code, just resubmit it.</t>
  </si>
  <si>
    <t>For now wont specify one, as reboots should be managed directly with Warewulf. But for some ideas, see: https://groups.google.com/g/slurm-users/c/PdmGGrb262w</t>
  </si>
  <si>
    <t>Program that runs on nodes in power save mode when those are assigned work. Used for helping jobs not surpass time assigned, for now will use none.</t>
  </si>
  <si>
    <t>Default is 300 nodes per minute.</t>
  </si>
  <si>
    <t>Default is 60 seconds, and seems good. Might have to be increased, if we see nodes consistently taking too long to respond, maybe the 1 GB cables may impact performance here as well.</t>
  </si>
  <si>
    <t>Default is 0, kill job immediately after reservation end time has been reached.</t>
  </si>
  <si>
    <t>Runs when reservation begins, and can be used to cancel jobs, modify partition configuration. For now wont use.</t>
  </si>
  <si>
    <t>Runs after Epilog, when reservation ends. Can be used to better clean resource allocation, modify partition configuration. For now wont use. For reservation, see: https://slurm.schedmd.com/reservations.html</t>
  </si>
  <si>
    <t>Default is 0, i.e., sysadmin must manually change node state from DOWN, using the command "scontrol update NodeName=whatever State=RESUME". For now, better to leave control more on my side, so I see how many times this is a real problem, and the node should stay DOWN.</t>
  </si>
  <si>
    <t xml:space="preserve">"bf_busy_nodes" allocates currently busy nodes for pending jobs (jobs that can't start immediately) so smaller jobs can squeeze in between. It's good for longer running jobs to start sooner, but may result in less than optimal network topology of allocations; "bf_continue" avoids delaying jobs because state of jobs or nodes has changed; </t>
  </si>
  <si>
    <t>bf_busy_nodes,bf_continue,bf_hetjob_immediate,bf_hetjob_prio=min,</t>
  </si>
  <si>
    <t>Default is 30 (seconds).</t>
  </si>
  <si>
    <t>enable,explicit_scancel</t>
  </si>
  <si>
    <t>cron jobs are organized in Slurm by crontab files."enable" enables the use of scrontab to submit and manage cron jobs, "explicit_scancel" forces users to specify the --cron flag when cancelling a cron job See: https://slurm.schedmd.com/scrontab.html</t>
  </si>
  <si>
    <t>Much more interesting than FIFO - But USERS HAVE TO BE TRAINED TO USE THIS OPTIMALLY.</t>
  </si>
  <si>
    <t>Allocate trackable resources (gres) instead of entire nodes (as in "select/linear"). No brainer.</t>
  </si>
  <si>
    <t>CR_Core_Memory,LL_SHARED_GRES</t>
  </si>
  <si>
    <t>No virtual IP address for Slurmctld</t>
  </si>
  <si>
    <t>/var/log/slurm/slurmctld.log</t>
  </si>
  <si>
    <t>enable_configless</t>
  </si>
  <si>
    <t xml:space="preserve">Default is "/var/run/slurmctld.pid". </t>
  </si>
  <si>
    <t>Default is "/var/run/slurmd.pid".</t>
  </si>
  <si>
    <t>Default is SLURMCTLD_PORT, i.e., 6817.</t>
  </si>
  <si>
    <r>
      <rPr>
        <b/>
        <sz val="12"/>
        <color theme="7" tint="-0.499984740745262"/>
        <rFont val="Calibri"/>
        <family val="2"/>
        <charset val="238"/>
        <scheme val="minor"/>
      </rPr>
      <t xml:space="preserve">enable_configless: </t>
    </r>
    <r>
      <rPr>
        <sz val="12"/>
        <color theme="7" tint="-0.499984740745262"/>
        <rFont val="Calibri"/>
        <family val="2"/>
        <charset val="238"/>
        <scheme val="minor"/>
      </rPr>
      <t xml:space="preserve">nodes dynamically retrieve configuration updates from slurmctld, eases admin overhead; </t>
    </r>
  </si>
  <si>
    <r>
      <rPr>
        <b/>
        <sz val="12"/>
        <color theme="7" tint="-0.499984740745262"/>
        <rFont val="Calibri"/>
        <family val="2"/>
        <scheme val="minor"/>
      </rPr>
      <t>CR_Core_Memory:</t>
    </r>
    <r>
      <rPr>
        <sz val="12"/>
        <color theme="7" tint="-0.499984740745262"/>
        <rFont val="Calibri"/>
        <family val="2"/>
        <scheme val="minor"/>
      </rPr>
      <t xml:space="preserve"> Multiple jobs will not be allocated to the same CORE (in different threads). DefMemPerCPU was also defined earlier, which is "strongly recommended". Cores and memory will be consumable resources; </t>
    </r>
    <r>
      <rPr>
        <b/>
        <sz val="12"/>
        <color theme="7" tint="-0.499984740745262"/>
        <rFont val="Calibri"/>
        <family val="2"/>
        <scheme val="minor"/>
      </rPr>
      <t>LL_SHARED_GRES:</t>
    </r>
    <r>
      <rPr>
        <sz val="12"/>
        <color theme="7" tint="-0.499984740745262"/>
        <rFont val="Calibri"/>
        <family val="2"/>
        <scheme val="minor"/>
      </rPr>
      <t xml:space="preserve"> allocate GRES in a balanced manner, i.e., jobs will prefer least loaded devices.</t>
    </r>
  </si>
  <si>
    <t>Run when the primary slurmtctld becomes a backup server. By default, none runs, but might be important.</t>
  </si>
  <si>
    <t>Run when the backup slurmtctld becomes the primary server. By default, none runs, but might be important.</t>
  </si>
  <si>
    <t>Default is 120 (seconds).</t>
  </si>
  <si>
    <t>/var/log/slurm/slurmd.log</t>
  </si>
  <si>
    <t>shutdown_on_reboot,numa_node_as_socket</t>
  </si>
  <si>
    <r>
      <rPr>
        <b/>
        <sz val="12"/>
        <color theme="1"/>
        <rFont val="Calibri"/>
        <family val="2"/>
        <charset val="238"/>
        <scheme val="minor"/>
      </rPr>
      <t>shutdown_on_reboot:</t>
    </r>
    <r>
      <rPr>
        <sz val="12"/>
        <color theme="1"/>
        <rFont val="Calibri"/>
        <family val="2"/>
        <scheme val="minor"/>
      </rPr>
      <t xml:space="preserve"> slurmd shuts itself down when rebooting, should be cleaner than the system doing it itself;</t>
    </r>
    <r>
      <rPr>
        <b/>
        <sz val="12"/>
        <color theme="1"/>
        <rFont val="Calibri"/>
        <family val="2"/>
        <charset val="238"/>
        <scheme val="minor"/>
      </rPr>
      <t xml:space="preserve"> numa_node_as_socket: </t>
    </r>
    <r>
      <rPr>
        <sz val="12"/>
        <color theme="1"/>
        <rFont val="Calibri"/>
        <family val="2"/>
        <scheme val="minor"/>
      </rPr>
      <t>u</t>
    </r>
    <r>
      <rPr>
        <sz val="12"/>
        <color theme="1"/>
        <rFont val="Calibri"/>
        <family val="2"/>
        <charset val="238"/>
        <scheme val="minor"/>
      </rPr>
      <t>se the hwloc NUMA Node to determine main hierarchy object to be used as socket, suggested for AMD Epyc systems (such as ours). Requires hwloc v2, which is provided in WW tutorial.</t>
    </r>
  </si>
  <si>
    <t>Default is 6818.</t>
  </si>
  <si>
    <t>Default is "/var/spool/slurmd".</t>
  </si>
  <si>
    <t>Default is root.</t>
  </si>
  <si>
    <t>/var/log/slurm/slurmsched.log</t>
  </si>
  <si>
    <t>1 sets to "scheduler logging enabled".</t>
  </si>
  <si>
    <t>A user other than root (default) is recommended.</t>
  </si>
  <si>
    <t>Runs after a job step is completed, and inherits the command line arguments of the job step, can be overriden by srun's --epilog parameter. For now wont use.</t>
  </si>
  <si>
    <t>By default, port numbers are selected by the kernel.</t>
  </si>
  <si>
    <t>Runs before a job step is completed, and inherits the command line arguments of the job step, can be overriden by srun's --prolog parameter. For now wont use.</t>
  </si>
  <si>
    <t>Default is "/var/spool".</t>
  </si>
  <si>
    <t>By default no nodes are excluded from suspension.</t>
  </si>
  <si>
    <t>By default, any node in CLOUD, DOWN, DRAIN, DYNAMIC_FUTURE, DYNAMIC_NORM, FAIL, INVALID_REG, MAINTENANCE, NOT_RESPONDING, PERFCTRS, PLANNED, and RESERVED, if idle for SuspendTime, will be powered down.</t>
  </si>
  <si>
    <t>By default, no program is run.</t>
  </si>
  <si>
    <t>Default is 60 nodes per minute.</t>
  </si>
  <si>
    <t>Default is INFINITE.</t>
  </si>
  <si>
    <t>These parameters affect switches using the switch plugin, and for now won't use.</t>
  </si>
  <si>
    <t>Program to be executed after tasks. For now won't configure any.</t>
  </si>
  <si>
    <t>task/cgroup,task/affinity</t>
  </si>
  <si>
    <t>Recommendation is "task/cgroup,task/affinity". This setup uses the task/affinity plugin for setting the cpu mask for tasks and uses the task/cgroup plugin to fence tasks into the allocated cpus.</t>
  </si>
  <si>
    <t>yes</t>
  </si>
  <si>
    <t>Program to be executed before tasks. For now won't configure any.</t>
  </si>
  <si>
    <t>For now wont change behaviour. But I am not sure if this will critically affect the system. Sit and assess.</t>
  </si>
  <si>
    <t>Default is 2 (seconds).</t>
  </si>
  <si>
    <t>Default is "/tmp".</t>
  </si>
  <si>
    <t>RouteTree</t>
  </si>
  <si>
    <t>Use the topology.conf file for routing. Since I already made that file, better use it.</t>
  </si>
  <si>
    <t>topology/block</t>
  </si>
  <si>
    <t>Necessary for option "RouteTree" in line 198.</t>
  </si>
  <si>
    <t>For now won't track WCKeys. But must assess if users are not managing to work together because of not using these keys.</t>
  </si>
  <si>
    <t>Each slurmd can communicate with up to 32 other slurmd daemons. For now will set it to the most common number of cores on our servers.</t>
  </si>
  <si>
    <t>A program that runs when job steps are determined to be unkillable by Slurm. Will not use for now.</t>
  </si>
  <si>
    <t>Default is the biggest of 60 (seconds) or five times the value of MessageTimeout.</t>
  </si>
  <si>
    <t>Default is 0, no PAM support. Will not be using PAM for now, since resource limits are being handled by cgroups. See: https://slurm.schedmd.com/SLUG19/cgroups_and_pam_slurm_adopt.pdf</t>
  </si>
  <si>
    <t>Default is 0, don't enforce virtual memory limits.</t>
  </si>
  <si>
    <t>Default is 0, don't wait between tasks.</t>
  </si>
  <si>
    <t>To see if we should have X11 display.</t>
  </si>
  <si>
    <t>The fact cpu nodes come first here in Slurm.conf means these will be first looked upon by the scheduler, to see if they have the resources to allocate jobs. Slurm's language is very weird: socket means CPU; CPUs means threads.</t>
  </si>
  <si>
    <t>FrontendName</t>
  </si>
  <si>
    <t>Have to explore if a front-end server is not required.</t>
  </si>
  <si>
    <t>NodeSet</t>
  </si>
  <si>
    <t>rack6 Nodes=mem02,gpu02,cpu02,cpu04,cpu06,cpu08,cpu10</t>
  </si>
  <si>
    <t>rack7 Nodes=mem01,gpu01,cpu01,cpu03,cpu05,cpu07,cpu09,cpu11</t>
  </si>
  <si>
    <t>Might be worth it, to group the servers by their racks.</t>
  </si>
  <si>
    <t>The CPU partition.</t>
  </si>
  <si>
    <t>The high memory partition. Only contains mem02 because mem01 is the master node.</t>
  </si>
  <si>
    <t>The GPU partition.</t>
  </si>
  <si>
    <t>disable_send_gids</t>
  </si>
  <si>
    <t>cpu[01-11] CPUs=32 Sockets=2 CoresPerSocket=16 ThreadsPerCore=2 RealMemory=128000 CpuBind=core</t>
  </si>
  <si>
    <t>mem02 CPUs=32 Sockets=4 CoresPerSocket=16 ThreadsPerCore=2 RealMemory=1024000 Features=highmem CpuBind=core</t>
  </si>
  <si>
    <t>highmem Nodes=mem02 MaxTime=10-00:00:00 AllowAccounts=MEM CpuBind=core DefMemPerCPU=42777</t>
  </si>
  <si>
    <t>gpu Nodes=gpu[01-02] MaxTime=10-00:00:00 AllowAccounts=GPU AllowGroups=LAMSA CpuBind=core DefMemPerCPU=5333</t>
  </si>
  <si>
    <t>cpu Nodes=cpu[01-11] MaxTime=30-00:00:00 AllowAccounts=CPU CpuBind=core DefMemPerCPU=5333 Default=YES</t>
  </si>
  <si>
    <t>AllowNoDefAcct</t>
  </si>
  <si>
    <t>AllResourcesAbsolute</t>
  </si>
  <si>
    <t>ArchiveDir</t>
  </si>
  <si>
    <t>ArchiveEvents</t>
  </si>
  <si>
    <t>ArchiveJobs</t>
  </si>
  <si>
    <t>ArchiveResvs</t>
  </si>
  <si>
    <t>ArchiveScript</t>
  </si>
  <si>
    <t>ArchiveSteps</t>
  </si>
  <si>
    <t>ArchiveSuspend</t>
  </si>
  <si>
    <t>ArchiveTXN</t>
  </si>
  <si>
    <t>ArchiveUsage</t>
  </si>
  <si>
    <t>CommitDelay</t>
  </si>
  <si>
    <t>DbdAddr</t>
  </si>
  <si>
    <t>DbdBackupHost</t>
  </si>
  <si>
    <t>DbdHost</t>
  </si>
  <si>
    <t>DbdPort</t>
  </si>
  <si>
    <t>DebugLevel</t>
  </si>
  <si>
    <t>DebugLevelSyslog</t>
  </si>
  <si>
    <t>DefaultQOS</t>
  </si>
  <si>
    <t>DisableCoordDBD</t>
  </si>
  <si>
    <t>LogFile</t>
  </si>
  <si>
    <t>MaxQueryTimeRange</t>
  </si>
  <si>
    <t>Parameters</t>
  </si>
  <si>
    <t>PidFile</t>
  </si>
  <si>
    <t>PurgeEventAfter</t>
  </si>
  <si>
    <t>PurgeJobAfter</t>
  </si>
  <si>
    <t>PurgeResvAfter</t>
  </si>
  <si>
    <t>PurgeStepAfter</t>
  </si>
  <si>
    <t>PurgeSuspendAfter</t>
  </si>
  <si>
    <t>PurgeTXNAfter</t>
  </si>
  <si>
    <t>PurgeUsageAfter</t>
  </si>
  <si>
    <t>StorageBackupHost</t>
  </si>
  <si>
    <t>StorageHost</t>
  </si>
  <si>
    <t>StorageLoc</t>
  </si>
  <si>
    <t>StorageParameters</t>
  </si>
  <si>
    <t>StoragePass</t>
  </si>
  <si>
    <t>StoragePort</t>
  </si>
  <si>
    <t>StorageType</t>
  </si>
  <si>
    <t>StorageUser</t>
  </si>
  <si>
    <t>TrackSlurmctldDown</t>
  </si>
  <si>
    <t>Recommended value, by TaskPlugin of slurm.conf.</t>
  </si>
  <si>
    <t>/var/log/slurm/slurmdbd.log</t>
  </si>
  <si>
    <t>Default is "no", users need to have default accounts.</t>
  </si>
  <si>
    <t>Default is "no", numbers treated as percentages.</t>
  </si>
  <si>
    <t>Default is "no", don't archive events when purging them.</t>
  </si>
  <si>
    <t>Default is "no", don't archive jobs when purging them.</t>
  </si>
  <si>
    <t>Default is "no", don't archive reservations when purging them.</t>
  </si>
  <si>
    <t>Script executed when rollup happens. For now wont use</t>
  </si>
  <si>
    <t>Default is "no", don't archive steps when purging them.</t>
  </si>
  <si>
    <t>Default is "no", don't archive transaction data when purging it.</t>
  </si>
  <si>
    <t>Default is "no", don't archive suspend data when purging it.</t>
  </si>
  <si>
    <t>Default is "no", don't archive usage data when purging it.</t>
  </si>
  <si>
    <t>Won't use one alternative for now, but maybe should.</t>
  </si>
  <si>
    <t>Default parameters seem fine.</t>
  </si>
  <si>
    <t>socket=/var/run/munge/munge.socket.2</t>
  </si>
  <si>
    <t>Munge is the default.</t>
  </si>
  <si>
    <t>1 second delay is suggested for heavy environments, even though it may result in data loss (if the system goes out unexpectedly inside the delay time). Our system does not need this delay, however.</t>
  </si>
  <si>
    <t>Will keep default values.</t>
  </si>
  <si>
    <t>By default, same value as DbdHost (i.e., mem1).</t>
  </si>
  <si>
    <t>Will not specify one for now.</t>
  </si>
  <si>
    <t>Default is 6819.</t>
  </si>
  <si>
    <t>AuditRPCs,DB_ARCHIVE,DB_ASSOC,DB_EVENT,DB_JOB,DB_QOS,DB_QUERY,DB_RESERVATION,DB_RESOURCE,DB_STEP,DB_TRES,DB_USAGE,DB_WCKEY,FEDERATION,Network,NetworkRaw,TLS</t>
  </si>
  <si>
    <t>For now will include all systems.</t>
  </si>
  <si>
    <t>debug</t>
  </si>
  <si>
    <t>For now will keep at the minimum debug level. To change to "info" after the experimental phase.</t>
  </si>
  <si>
    <t>Minimum level of debugging for now. Should change to info (default) after experimental phase.</t>
  </si>
  <si>
    <t>Minimum level of debugging for now. Should change to fatal (default) after experimental phase.</t>
  </si>
  <si>
    <t>For now will keep at the minimum debug level. To change to "fatal" after the experimental phase.</t>
  </si>
  <si>
    <t>Am not using QOS at current time.</t>
  </si>
  <si>
    <t>Default is "no", allow coordinator to add acounts and change associations, coordinators and users. To be assessed if this is too much liberty.</t>
  </si>
  <si>
    <t>Default is INFINITE, allow any queries, no matter how long they take. This has to be changed, but I have to assess how long typical queries take.</t>
  </si>
  <si>
    <t>For now will force lower case for users.</t>
  </si>
  <si>
    <t>Default is "/var/run/slurmdbd.pid".</t>
  </si>
  <si>
    <t>Default is prefix given at configure time + "/lib/slurm".</t>
  </si>
  <si>
    <t>For the experimental phase will let this open to all. But will restrict users access to some information after experimental phase.</t>
  </si>
  <si>
    <t>365days</t>
  </si>
  <si>
    <t>Purge event information from the database that are older than 365 days (at the begining of each day).</t>
  </si>
  <si>
    <t>Purge job information from the database that are older than 365 days (at the begining of each day).</t>
  </si>
  <si>
    <t>Purge step information from the database that are older than 365 days (at the begining of each day).</t>
  </si>
  <si>
    <t>Purge reservation information from the database that are older than 365 days (at the begining of each day).</t>
  </si>
  <si>
    <t>Purge job suspend information from the database that are older than 365 days (at the begining of each day).</t>
  </si>
  <si>
    <t>Purge transaction information from the database that are older than 365 days (at the begining of each day).</t>
  </si>
  <si>
    <t>Purge usage information from the database that are older than 365 days (at the begining of each day).</t>
  </si>
  <si>
    <t>Suggested to not use "root" (the default).</t>
  </si>
  <si>
    <t>For now won't backup the StorageHost. Must change this in the future.</t>
  </si>
  <si>
    <t>slurm_acct_db</t>
  </si>
  <si>
    <t>Default is 3306.</t>
  </si>
  <si>
    <t>accounting_storage/mysql</t>
  </si>
  <si>
    <t>Slurmdbd will mark all idle resources on the cluster as down when the slurmctld disconnects or is no longer reachable.</t>
  </si>
  <si>
    <t>Seems sensible to not allow default, i.e., ALL users.</t>
  </si>
  <si>
    <t>/dev/shm</t>
  </si>
  <si>
    <t>Going to try using the fastest mount point.</t>
  </si>
  <si>
    <t>Will run jobs on isolated environment. See: https://slurm.schedmd.com/NHR21/containers.pdf and https://slurm.schedmd.com/job_container.conf.html</t>
  </si>
  <si>
    <t>Same as the SlurmUser, if no problems arise.</t>
  </si>
  <si>
    <t>Implements removal of mounted folders (including in container environment).</t>
  </si>
  <si>
    <t>/etc/slurm/epilog.sh</t>
  </si>
  <si>
    <t>/etc/slurm/node_health_check.py</t>
  </si>
  <si>
    <t>Include temperature on the script.</t>
  </si>
  <si>
    <t>job_database_mgr</t>
  </si>
  <si>
    <r>
      <rPr>
        <b/>
        <sz val="12"/>
        <color theme="1"/>
        <rFont val="Calibri"/>
        <family val="2"/>
        <charset val="238"/>
        <scheme val="minor"/>
      </rPr>
      <t>disable_send_gids:</t>
    </r>
    <r>
      <rPr>
        <sz val="12"/>
        <color theme="1"/>
        <rFont val="Calibri"/>
        <family val="2"/>
        <scheme val="minor"/>
      </rPr>
      <t xml:space="preserve"> https://groups.google.com/g/slurm-users/c/GluzVySpnfM. For now will keep the rest as defaults, although nss_slurm might be required, if there is a problem with users' paswords/permissions.</t>
    </r>
  </si>
  <si>
    <t>/etc/slurm/prolog.sh</t>
  </si>
  <si>
    <t>Implements mounting of HOME and SCRATCH folders.</t>
  </si>
  <si>
    <t>Not relevant, a value of 0 prevents kernel from swapping out program data, value of 100 gives equal priority to swapping out file cache or anonymous pages. Also, this parameter is ignored now: https://slurm.schedmd.com/cgroup_v2.html#ignored_params</t>
  </si>
  <si>
    <r>
      <t xml:space="preserve">cgroup organizes processes hierarchically and distributes system resources, and is highly recommended by Slurm (since other options (linuxproc and pgid) can fail to identify all processes associated with a job. </t>
    </r>
    <r>
      <rPr>
        <sz val="12"/>
        <color rgb="FF7030A0"/>
        <rFont val="Calibri"/>
        <family val="2"/>
        <charset val="238"/>
        <scheme val="minor"/>
      </rPr>
      <t>See: https://slurm.schedmd.com/cgroup_v2.html for how to configure systemd before first running Slurm and https://www.kernel.org/doc/html/latest/admin-guide/cgroup-v2.html -&gt; I believe these are fine, but lets see.</t>
    </r>
  </si>
  <si>
    <t>Default is "ALL", propagate all limits from the user's process environment on the submit node to the jobs that run on the compute nodes.</t>
  </si>
  <si>
    <t>For establishing a secure connection to the database, by googling it, it seems it's mostly related to cloud HPCing.</t>
  </si>
  <si>
    <t>/scratch/profile_data</t>
  </si>
  <si>
    <t>gpu,shard</t>
  </si>
  <si>
    <t>gpu[01-02] CPUs=32 Sockets=2 CoresPerSocket=16 ThreadsPerCore=2 RealMemory=128000 Features=nvidia Gres=gpu:nvidia:2,gpu:2,shard:22344 CpuBind=core</t>
  </si>
  <si>
    <t>SwitchName</t>
  </si>
  <si>
    <t>switch_1 Nodes=cpu[01-11],mem02,gpu[01-02]</t>
  </si>
  <si>
    <t>For only consider only one switch, since all servers are connected, in a trunk, to the main switch.</t>
  </si>
  <si>
    <t>{{ sms_name }}</t>
  </si>
  <si>
    <t>{{ accounting_storage_user }}</t>
  </si>
  <si>
    <t>{{ cluster_name }}</t>
  </si>
  <si>
    <t>{{ slurm_user }}</t>
  </si>
  <si>
    <t>{{ bmc_username }}</t>
  </si>
  <si>
    <t>{{ bmc_password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</si>
</sst>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2"/>
      <color theme="0"/>
      <name val="Calibri"/>
      <family val="2"/>
      <scheme val="minor"/>
    </font>
    <font>
      <sz val="12"/>
      <color rgb="FFFF0000"/>
      <name val="Calibri"/>
      <family val="2"/>
      <scheme val="minor"/>
    </font>
    <font>
      <sz val="12"/>
      <color rgb="FFFF0000"/>
      <name val="Calibri"/>
      <family val="2"/>
      <charset val="238"/>
      <scheme val="minor"/>
    </font>
    <font>
      <u/>
      <sz val="12"/>
      <color theme="1"/>
      <name val="Calibri"/>
      <family val="2"/>
      <charset val="238"/>
      <scheme val="minor"/>
    </font>
    <font>
      <sz val="12"/>
      <color rgb="FF7030A0"/>
      <name val="Calibri"/>
      <family val="2"/>
      <scheme val="minor"/>
    </font>
    <font>
      <sz val="12"/>
      <name val="Calibri"/>
      <family val="2"/>
      <charset val="238"/>
      <scheme val="minor"/>
    </font>
    <font>
      <sz val="12"/>
      <color rgb="FF7030A0"/>
      <name val="Calibri"/>
      <family val="2"/>
      <charset val="238"/>
      <scheme val="minor"/>
    </font>
    <font>
      <sz val="12"/>
      <color theme="7" tint="-0.499984740745262"/>
      <name val="Calibri"/>
      <family val="2"/>
      <scheme val="minor"/>
    </font>
    <font>
      <sz val="12"/>
      <name val="Calibri"/>
      <family val="2"/>
      <scheme val="minor"/>
    </font>
    <font>
      <sz val="12"/>
      <color theme="5" tint="-0.499984740745262"/>
      <name val="Calibri"/>
      <family val="2"/>
      <scheme val="minor"/>
    </font>
    <font>
      <sz val="12"/>
      <color theme="1"/>
      <name val="Calibri"/>
      <family val="2"/>
      <charset val="238"/>
      <scheme val="minor"/>
    </font>
    <font>
      <sz val="12"/>
      <color theme="7" tint="-0.499984740745262"/>
      <name val="Calibri"/>
      <family val="2"/>
      <charset val="238"/>
      <scheme val="minor"/>
    </font>
    <font>
      <b/>
      <sz val="12"/>
      <color theme="1"/>
      <name val="Calibri"/>
      <family val="2"/>
      <charset val="238"/>
      <scheme val="minor"/>
    </font>
    <font>
      <b/>
      <sz val="12"/>
      <color theme="7" tint="-0.499984740745262"/>
      <name val="Calibri"/>
      <family val="2"/>
      <charset val="238"/>
      <scheme val="minor"/>
    </font>
    <font>
      <b/>
      <sz val="12"/>
      <color theme="7" tint="-0.499984740745262"/>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s>
  <borders count="6">
    <border>
      <left/>
      <right/>
      <top/>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diagonal/>
    </border>
  </borders>
  <cellStyleXfs count="1">
    <xf numFmtId="0" fontId="0" fillId="0" borderId="0"/>
  </cellStyleXfs>
  <cellXfs count="38">
    <xf numFmtId="0" fontId="0" fillId="0" borderId="0" xfId="0"/>
    <xf numFmtId="0" fontId="0" fillId="0" borderId="0" xfId="0" applyAlignment="1">
      <alignment horizontal="center" vertical="center" wrapText="1"/>
    </xf>
    <xf numFmtId="0" fontId="0" fillId="0" borderId="0" xfId="0" applyAlignment="1">
      <alignment horizontal="left"/>
    </xf>
    <xf numFmtId="0" fontId="0" fillId="0" borderId="0" xfId="0" applyAlignment="1">
      <alignment horizontal="left" vertical="center" wrapText="1"/>
    </xf>
    <xf numFmtId="0" fontId="2" fillId="0" borderId="0" xfId="0" applyFont="1" applyAlignment="1">
      <alignment horizontal="left" vertical="center" wrapText="1"/>
    </xf>
    <xf numFmtId="17" fontId="0" fillId="0" borderId="0" xfId="0" quotePrefix="1" applyNumberFormat="1" applyAlignment="1">
      <alignment horizontal="center" vertical="center" wrapText="1"/>
    </xf>
    <xf numFmtId="0" fontId="5" fillId="0" borderId="0" xfId="0" applyFont="1" applyAlignment="1">
      <alignment horizontal="left" vertical="center" wrapText="1"/>
    </xf>
    <xf numFmtId="0" fontId="3" fillId="0" borderId="0" xfId="0" applyFont="1"/>
    <xf numFmtId="0" fontId="5" fillId="0" borderId="0" xfId="0" applyFont="1"/>
    <xf numFmtId="0" fontId="8" fillId="0" borderId="0" xfId="0" applyFont="1"/>
    <xf numFmtId="0" fontId="8" fillId="0" borderId="0" xfId="0" applyFont="1" applyAlignment="1">
      <alignment horizontal="left" vertical="center" wrapText="1"/>
    </xf>
    <xf numFmtId="0" fontId="0" fillId="0" borderId="0" xfId="0" applyAlignment="1">
      <alignment vertical="center"/>
    </xf>
    <xf numFmtId="0" fontId="0" fillId="4" borderId="0" xfId="0" applyFill="1"/>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8"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0" fillId="0" borderId="0" xfId="0" applyAlignment="1">
      <alignment wrapText="1"/>
    </xf>
    <xf numFmtId="0" fontId="0" fillId="2" borderId="1" xfId="0" applyFill="1" applyBorder="1" applyAlignment="1">
      <alignment vertical="center" wrapText="1"/>
    </xf>
    <xf numFmtId="0" fontId="0" fillId="0" borderId="1" xfId="0" applyBorder="1" applyAlignment="1">
      <alignment vertical="center" wrapText="1"/>
    </xf>
    <xf numFmtId="0" fontId="1" fillId="3" borderId="3" xfId="0" applyFont="1" applyFill="1" applyBorder="1" applyAlignment="1">
      <alignment horizontal="left" vertical="center" wrapText="1"/>
    </xf>
    <xf numFmtId="0" fontId="0" fillId="0" borderId="5" xfId="0" applyBorder="1" applyAlignment="1">
      <alignment vertical="center" wrapText="1"/>
    </xf>
    <xf numFmtId="0" fontId="0" fillId="2" borderId="1" xfId="0" quotePrefix="1" applyFill="1" applyBorder="1" applyAlignment="1">
      <alignment vertical="center" wrapText="1"/>
    </xf>
    <xf numFmtId="0" fontId="10" fillId="2" borderId="1" xfId="0" applyFont="1" applyFill="1" applyBorder="1" applyAlignment="1">
      <alignment vertical="center" wrapText="1"/>
    </xf>
    <xf numFmtId="0" fontId="0" fillId="0" borderId="5" xfId="0" quotePrefix="1" applyBorder="1" applyAlignment="1">
      <alignment vertical="center" wrapText="1"/>
    </xf>
    <xf numFmtId="0" fontId="2" fillId="0" borderId="5" xfId="0" applyFont="1" applyBorder="1" applyAlignment="1">
      <alignment vertical="center"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9" fillId="0" borderId="0" xfId="0" applyFont="1" applyAlignment="1">
      <alignment horizontal="left" vertical="center" wrapText="1"/>
    </xf>
    <xf numFmtId="0" fontId="9" fillId="0" borderId="0" xfId="0" applyFont="1" applyAlignment="1">
      <alignment vertical="center" wrapText="1"/>
    </xf>
  </cellXfs>
  <cellStyles count="1">
    <cellStyle name="Normal" xfId="0" builtinId="0"/>
  </cellStyles>
  <dxfs count="52">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border outline="0">
        <top style="thin">
          <color rgb="FF8EA9DB"/>
        </top>
      </border>
    </dxf>
    <dxf>
      <alignment vertical="center" textRotation="0" indent="0" justifyLastLine="0" shrinkToFit="0" readingOrder="0"/>
    </dxf>
    <dxf>
      <border outline="0">
        <bottom style="thin">
          <color rgb="FF8EA9DB"/>
        </bottom>
      </border>
    </dxf>
    <dxf>
      <alignment vertical="center" textRotation="0" indent="0" justifyLastLine="0" shrinkToFit="0" readingOrder="0"/>
    </dxf>
    <dxf>
      <border outline="0">
        <top style="thin">
          <color rgb="FF8EA9DB"/>
        </top>
      </border>
    </dxf>
    <dxf>
      <border outline="0">
        <bottom style="thin">
          <color rgb="FF8EA9DB"/>
        </bottom>
      </border>
    </dxf>
    <dxf>
      <border outline="0">
        <top style="thin">
          <color rgb="FF8EA9DB"/>
        </top>
      </border>
    </dxf>
    <dxf>
      <border outline="0">
        <bottom style="thin">
          <color rgb="FF8EA9DB"/>
        </bottom>
      </border>
    </dxf>
    <dxf>
      <border outline="0">
        <top style="thin">
          <color theme="4" tint="0.39997558519241921"/>
        </top>
      </border>
    </dxf>
    <dxf>
      <border outline="0">
        <bottom style="thin">
          <color theme="4" tint="0.39997558519241921"/>
        </bottom>
      </border>
    </dxf>
    <dxf>
      <font>
        <strike val="0"/>
        <outline val="0"/>
        <shadow val="0"/>
        <u val="none"/>
        <vertAlign val="baseline"/>
        <sz val="12"/>
        <color auto="1"/>
        <name val="Calibri"/>
        <family val="2"/>
        <scheme val="minor"/>
      </font>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rgb="FF8EA9DB"/>
        </top>
      </border>
    </dxf>
    <dxf>
      <alignment vertical="center" textRotation="0" wrapText="1" indent="0" justifyLastLine="0" shrinkToFit="0" readingOrder="0"/>
    </dxf>
    <dxf>
      <border outline="0">
        <bottom style="thin">
          <color rgb="FF8EA9DB"/>
        </bottom>
      </border>
    </dxf>
    <dxf>
      <alignmen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border outline="0">
        <bottom style="thin">
          <color theme="4" tint="0.39997558519241921"/>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top style="thin">
          <color theme="4" tint="0.39997558519241921"/>
        </top>
      </border>
    </dxf>
    <dxf>
      <alignment vertical="center" textRotation="0" wrapText="1" indent="0" justifyLastLine="0" shrinkToFit="0" readingOrder="0"/>
    </dxf>
    <dxf>
      <border outline="0">
        <bottom style="thin">
          <color theme="4" tint="0.39997558519241921"/>
        </bottom>
      </border>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theme="4" tint="0.39997558519241921"/>
        </top>
      </border>
    </dxf>
    <dxf>
      <alignment vertical="center" textRotation="0" wrapText="1" indent="0" justifyLastLine="0" shrinkToFit="0" readingOrder="0"/>
    </dxf>
    <dxf>
      <border outline="0">
        <bottom style="thin">
          <color theme="4" tint="0.39997558519241921"/>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top style="thin">
          <color rgb="FF8EA9DB"/>
        </top>
      </border>
    </dxf>
    <dxf>
      <alignment vertical="center" textRotation="0" wrapText="1" indent="0" justifyLastLine="0" shrinkToFit="0" readingOrder="0"/>
    </dxf>
    <dxf>
      <border outline="0">
        <bottom style="thin">
          <color rgb="FF8EA9DB"/>
        </bottom>
      </border>
    </dxf>
    <dxf>
      <alignmen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CC044A-B762-644D-ACB7-A7A2D791F53F}" name="Tabela1" displayName="Tabela1" ref="A1:C217" totalsRowShown="0" dataDxfId="51">
  <autoFilter ref="A1:C217" xr:uid="{51CC044A-B762-644D-ACB7-A7A2D791F53F}"/>
  <tableColumns count="3">
    <tableColumn id="1" xr3:uid="{6D9AE7F7-3B19-3746-9C10-9B5E5D9E77F7}" name="Parameter" dataDxfId="50"/>
    <tableColumn id="2" xr3:uid="{7647DEBD-2263-2948-B456-6D4BB0FFCC72}" name="Value" dataDxfId="49"/>
    <tableColumn id="3" xr3:uid="{4FF63FFB-CCDB-3646-8ED0-EA4DEBD3A5BF}" name="Comments"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4C8E95-C77A-424C-B9D5-A60FC89D9549}" name="Table681011" displayName="Table681011" ref="A1:C55" totalsRowShown="0" headerRowDxfId="47" dataDxfId="45" headerRowBorderDxfId="46" tableBorderDxfId="44">
  <autoFilter ref="A1:C55" xr:uid="{2C6AA28B-F79E-4745-BC1E-DF69632F3914}"/>
  <tableColumns count="3">
    <tableColumn id="1" xr3:uid="{DBBC2658-CB54-4F0E-9259-CFEB77FC9364}" name="Parameter" dataDxfId="43"/>
    <tableColumn id="2" xr3:uid="{CF4B5D18-FD47-458A-BA1C-A18DC1107A57}" name="Value" dataDxfId="42"/>
    <tableColumn id="3" xr3:uid="{2F81571B-FB5A-460E-A9F7-68C1A79DAAF9}" name="Comments"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A700C6-753D-438A-A36A-6E9868B53686}" name="Table3" displayName="Table3" ref="A1:C8" totalsRowShown="0" headerRowDxfId="40" dataDxfId="38" headerRowBorderDxfId="39" tableBorderDxfId="37">
  <autoFilter ref="A1:C8" xr:uid="{73A700C6-753D-438A-A36A-6E9868B53686}"/>
  <tableColumns count="3">
    <tableColumn id="1" xr3:uid="{7E9F2EB7-3AC3-4B88-99AD-36EC0244CBE7}" name="Parameter" dataDxfId="36"/>
    <tableColumn id="2" xr3:uid="{76EC0B20-8C5B-497F-B542-F48DA83CC3B2}" name="Value" dataDxfId="35"/>
    <tableColumn id="3" xr3:uid="{363DE23A-1B7C-4F46-8C06-2AF1D3ABB3E1}" name="Comments" dataDxfId="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E3DB2E-B883-45C2-B8D6-7AF17A26A70B}" name="Table4" displayName="Table4" ref="A1:C18" totalsRowShown="0" headerRowDxfId="33" dataDxfId="31" headerRowBorderDxfId="32" tableBorderDxfId="30">
  <autoFilter ref="A1:C18" xr:uid="{3FE3DB2E-B883-45C2-B8D6-7AF17A26A70B}"/>
  <tableColumns count="3">
    <tableColumn id="1" xr3:uid="{C060598A-58B1-43DA-B0EA-046171CF2194}" name="Parameter" dataDxfId="29"/>
    <tableColumn id="2" xr3:uid="{DD4774FF-48B1-4D11-AB5E-5E81ADED4AE5}" name="Value" dataDxfId="28"/>
    <tableColumn id="3" xr3:uid="{4CBE4713-33CC-4E33-9D65-75D0A8E4B159}" name="Comments"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6ABA85-D1B2-4F8C-A221-91583F9EAD01}" name="Table5" displayName="Table5" ref="A1:C12" totalsRowShown="0" dataDxfId="25" headerRowBorderDxfId="26" tableBorderDxfId="24" totalsRowBorderDxfId="23">
  <autoFilter ref="A1:C12" xr:uid="{186ABA85-D1B2-4F8C-A221-91583F9EAD01}"/>
  <tableColumns count="3">
    <tableColumn id="1" xr3:uid="{2F6AB5A2-19D7-4557-A58B-05849DEC586A}" name="Parameter" dataDxfId="22"/>
    <tableColumn id="2" xr3:uid="{64D8F9D6-18CC-4FE3-AE0D-9BDB445CF173}" name="Value" dataDxfId="21"/>
    <tableColumn id="3" xr3:uid="{EAFB018B-BFC1-414F-8154-D8D8C1D447A4}" name="Comments"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EF6E3C-0DFE-4C4E-9F66-78A32EE7D6DE}" name="Table312" displayName="Table312" ref="A1:C2" totalsRowShown="0" headerRowDxfId="19" dataDxfId="17" headerRowBorderDxfId="18" tableBorderDxfId="16">
  <autoFilter ref="A1:C2" xr:uid="{73A700C6-753D-438A-A36A-6E9868B53686}"/>
  <tableColumns count="3">
    <tableColumn id="1" xr3:uid="{711D0118-3553-4A9B-B742-4290A8AEFE98}" name="Parameter" dataDxfId="15"/>
    <tableColumn id="2" xr3:uid="{B2DF27F1-AAD0-457E-8C15-229B8B6E162F}" name="Value" dataDxfId="14"/>
    <tableColumn id="3" xr3:uid="{DDF59DED-DC71-440C-8049-F89EA182C927}" name="Comments" dataDxf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6AA28B-F79E-4745-BC1E-DF69632F3914}" name="Table6" displayName="Table6" ref="A1:C6" totalsRowShown="0" headerRowBorderDxfId="12" tableBorderDxfId="11">
  <autoFilter ref="A1:C6" xr:uid="{2C6AA28B-F79E-4745-BC1E-DF69632F3914}"/>
  <tableColumns count="3">
    <tableColumn id="1" xr3:uid="{04C88DC6-243B-44B9-B08D-B4690D45B757}" name="Parameter"/>
    <tableColumn id="2" xr3:uid="{6E771E1D-EB33-4194-9A1A-8288F28C0362}" name="Value"/>
    <tableColumn id="3" xr3:uid="{8F6B5432-9ADC-4533-A6D2-18578A417DC0}" name="Comment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9AB286-E7C8-445B-8B22-25FBEC9034E5}" name="Table68" displayName="Table68" ref="A1:C3" totalsRowShown="0" headerRowBorderDxfId="10" tableBorderDxfId="9">
  <autoFilter ref="A1:C3" xr:uid="{2C6AA28B-F79E-4745-BC1E-DF69632F3914}"/>
  <tableColumns count="3">
    <tableColumn id="1" xr3:uid="{BCC9523A-E66D-4BCE-8346-D2F45C1E0407}" name="Parameter"/>
    <tableColumn id="2" xr3:uid="{473F36CC-1483-4FE9-A220-1C1E2314A764}" name="Value"/>
    <tableColumn id="3" xr3:uid="{7E5CB9B7-DA22-47B8-B3EC-5E7B450FC844}" name="Comment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9A4D7C-B7B4-461A-8507-9F8355BFDE73}" name="Table689" displayName="Table689" ref="A1:C13" totalsRowShown="0" headerRowBorderDxfId="8" tableBorderDxfId="7">
  <autoFilter ref="A1:C13" xr:uid="{2C6AA28B-F79E-4745-BC1E-DF69632F3914}"/>
  <tableColumns count="3">
    <tableColumn id="1" xr3:uid="{C359B6E2-0989-40FC-AD23-C81575230CF4}" name="Parameter"/>
    <tableColumn id="2" xr3:uid="{D4CA6644-F980-4C70-9A35-F33525FD4902}" name="Value"/>
    <tableColumn id="3" xr3:uid="{E621EDA9-BDBB-4706-ABDD-0A0056B83885}" name="Commen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C9E26D-7B72-43B2-811C-4725AAA24935}" name="Table6810" displayName="Table6810" ref="A1:C3" totalsRowShown="0" headerRowDxfId="6" dataDxfId="4" headerRowBorderDxfId="5" tableBorderDxfId="3">
  <autoFilter ref="A1:C3" xr:uid="{2C6AA28B-F79E-4745-BC1E-DF69632F3914}"/>
  <tableColumns count="3">
    <tableColumn id="1" xr3:uid="{F9C10B2F-D067-423E-8004-D4C393C97A74}" name="Parameter" dataDxfId="2"/>
    <tableColumn id="2" xr3:uid="{F2D0AB18-9144-4634-9D17-C1DEA64A0AA3}" name="Value" dataDxfId="1"/>
    <tableColumn id="3" xr3:uid="{55F49A3B-C910-43DD-AE53-7C3D3D1E5A3F}"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35157-3F15-40EA-A95C-83B64E8D6B24}">
  <dimension ref="A1:A7"/>
  <sheetViews>
    <sheetView workbookViewId="0">
      <selection activeCell="A8" sqref="A8"/>
    </sheetView>
  </sheetViews>
  <sheetFormatPr defaultRowHeight="15.75" x14ac:dyDescent="0.25"/>
  <cols>
    <col min="1" max="1" width="58.375" customWidth="1"/>
  </cols>
  <sheetData>
    <row r="1" spans="1:1" x14ac:dyDescent="0.25">
      <c r="A1" s="12" t="s">
        <v>230</v>
      </c>
    </row>
    <row r="2" spans="1:1" x14ac:dyDescent="0.25">
      <c r="A2" t="s">
        <v>231</v>
      </c>
    </row>
    <row r="3" spans="1:1" x14ac:dyDescent="0.25">
      <c r="A3" s="7" t="s">
        <v>232</v>
      </c>
    </row>
    <row r="4" spans="1:1" x14ac:dyDescent="0.25">
      <c r="A4" s="8" t="s">
        <v>375</v>
      </c>
    </row>
    <row r="5" spans="1:1" x14ac:dyDescent="0.25">
      <c r="A5" s="9" t="s">
        <v>376</v>
      </c>
    </row>
    <row r="7" spans="1:1" x14ac:dyDescent="0.25">
      <c r="A7" s="12" t="s">
        <v>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52AF-4204-7C46-A81A-FB82CF0AB19E}">
  <dimension ref="A1:C217"/>
  <sheetViews>
    <sheetView topLeftCell="A160" workbookViewId="0">
      <selection activeCell="B168" sqref="B168"/>
    </sheetView>
  </sheetViews>
  <sheetFormatPr defaultColWidth="11" defaultRowHeight="15.75" x14ac:dyDescent="0.25"/>
  <cols>
    <col min="1" max="1" width="27.625" customWidth="1"/>
    <col min="2" max="2" width="56.125" customWidth="1"/>
    <col min="3" max="3" width="124.875" style="2" customWidth="1"/>
  </cols>
  <sheetData>
    <row r="1" spans="1:3" x14ac:dyDescent="0.25">
      <c r="A1" t="s">
        <v>0</v>
      </c>
      <c r="B1" t="s">
        <v>1</v>
      </c>
      <c r="C1" s="2" t="s">
        <v>2</v>
      </c>
    </row>
    <row r="2" spans="1:3" x14ac:dyDescent="0.25">
      <c r="A2" s="1" t="s">
        <v>3</v>
      </c>
      <c r="B2" s="1"/>
      <c r="C2" s="6" t="s">
        <v>215</v>
      </c>
    </row>
    <row r="3" spans="1:3" x14ac:dyDescent="0.25">
      <c r="A3" s="1" t="s">
        <v>4</v>
      </c>
      <c r="B3" s="1" t="s">
        <v>5</v>
      </c>
      <c r="C3" s="3" t="s">
        <v>229</v>
      </c>
    </row>
    <row r="4" spans="1:3" x14ac:dyDescent="0.25">
      <c r="A4" s="1" t="s">
        <v>6</v>
      </c>
      <c r="B4" s="1"/>
      <c r="C4" s="10" t="s">
        <v>216</v>
      </c>
    </row>
    <row r="5" spans="1:3" x14ac:dyDescent="0.25">
      <c r="A5" s="1" t="s">
        <v>7</v>
      </c>
      <c r="B5" s="1" t="s">
        <v>639</v>
      </c>
      <c r="C5" s="3"/>
    </row>
    <row r="6" spans="1:3" x14ac:dyDescent="0.25">
      <c r="A6" s="1" t="s">
        <v>8</v>
      </c>
      <c r="B6" s="1"/>
      <c r="C6" s="10" t="s">
        <v>217</v>
      </c>
    </row>
    <row r="7" spans="1:3" x14ac:dyDescent="0.25">
      <c r="A7" s="1" t="s">
        <v>9</v>
      </c>
      <c r="B7" s="1" t="s">
        <v>218</v>
      </c>
      <c r="C7" s="10" t="s">
        <v>219</v>
      </c>
    </row>
    <row r="8" spans="1:3" x14ac:dyDescent="0.25">
      <c r="A8" s="1" t="s">
        <v>10</v>
      </c>
      <c r="B8" s="1">
        <v>6819</v>
      </c>
      <c r="C8" s="3" t="s">
        <v>220</v>
      </c>
    </row>
    <row r="9" spans="1:3" x14ac:dyDescent="0.25">
      <c r="A9" s="1" t="s">
        <v>11</v>
      </c>
      <c r="B9" s="1" t="s">
        <v>221</v>
      </c>
      <c r="C9" s="3" t="s">
        <v>222</v>
      </c>
    </row>
    <row r="10" spans="1:3" x14ac:dyDescent="0.25">
      <c r="A10" s="1" t="s">
        <v>12</v>
      </c>
      <c r="B10" s="1" t="s">
        <v>227</v>
      </c>
      <c r="C10" s="3" t="s">
        <v>228</v>
      </c>
    </row>
    <row r="11" spans="1:3" x14ac:dyDescent="0.25">
      <c r="A11" s="1" t="s">
        <v>13</v>
      </c>
      <c r="B11" s="1" t="s">
        <v>640</v>
      </c>
      <c r="C11" s="6" t="s">
        <v>620</v>
      </c>
    </row>
    <row r="12" spans="1:3" x14ac:dyDescent="0.25">
      <c r="A12" s="1" t="s">
        <v>14</v>
      </c>
      <c r="B12" s="1" t="s">
        <v>233</v>
      </c>
      <c r="C12" s="10" t="s">
        <v>234</v>
      </c>
    </row>
    <row r="13" spans="1:3" x14ac:dyDescent="0.25">
      <c r="A13" s="1" t="s">
        <v>15</v>
      </c>
      <c r="B13" s="1">
        <v>300</v>
      </c>
      <c r="C13" s="10" t="s">
        <v>235</v>
      </c>
    </row>
    <row r="14" spans="1:3" x14ac:dyDescent="0.25">
      <c r="A14" s="1" t="s">
        <v>16</v>
      </c>
      <c r="B14" s="1" t="s">
        <v>236</v>
      </c>
      <c r="C14" s="3" t="s">
        <v>237</v>
      </c>
    </row>
    <row r="15" spans="1:3" x14ac:dyDescent="0.25">
      <c r="A15" s="1" t="s">
        <v>17</v>
      </c>
      <c r="B15" s="1"/>
      <c r="C15" s="10" t="s">
        <v>247</v>
      </c>
    </row>
    <row r="16" spans="1:3" ht="31.5" x14ac:dyDescent="0.25">
      <c r="A16" s="1" t="s">
        <v>18</v>
      </c>
      <c r="B16" s="1"/>
      <c r="C16" s="10" t="s">
        <v>248</v>
      </c>
    </row>
    <row r="17" spans="1:3" x14ac:dyDescent="0.25">
      <c r="A17" s="1" t="s">
        <v>19</v>
      </c>
      <c r="B17" s="1" t="s">
        <v>249</v>
      </c>
      <c r="C17" t="s">
        <v>266</v>
      </c>
    </row>
    <row r="18" spans="1:3" x14ac:dyDescent="0.25">
      <c r="A18" s="1" t="s">
        <v>20</v>
      </c>
      <c r="B18" s="1" t="s">
        <v>253</v>
      </c>
      <c r="C18" s="3" t="s">
        <v>254</v>
      </c>
    </row>
    <row r="19" spans="1:3" x14ac:dyDescent="0.25">
      <c r="A19" s="1" t="s">
        <v>21</v>
      </c>
      <c r="B19" s="1"/>
      <c r="C19" s="3" t="s">
        <v>255</v>
      </c>
    </row>
    <row r="20" spans="1:3" x14ac:dyDescent="0.25">
      <c r="A20" s="1" t="s">
        <v>22</v>
      </c>
      <c r="B20" s="1"/>
      <c r="C20" s="3" t="s">
        <v>256</v>
      </c>
    </row>
    <row r="21" spans="1:3" x14ac:dyDescent="0.25">
      <c r="A21" s="1" t="s">
        <v>23</v>
      </c>
      <c r="B21" s="1"/>
      <c r="C21" s="3" t="s">
        <v>257</v>
      </c>
    </row>
    <row r="22" spans="1:3" x14ac:dyDescent="0.25">
      <c r="A22" s="1" t="s">
        <v>24</v>
      </c>
      <c r="B22" s="1" t="s">
        <v>210</v>
      </c>
      <c r="C22" s="3" t="s">
        <v>258</v>
      </c>
    </row>
    <row r="23" spans="1:3" x14ac:dyDescent="0.25">
      <c r="A23" s="1" t="s">
        <v>25</v>
      </c>
      <c r="B23" s="1"/>
      <c r="C23" s="3" t="s">
        <v>259</v>
      </c>
    </row>
    <row r="24" spans="1:3" x14ac:dyDescent="0.25">
      <c r="A24" s="1" t="s">
        <v>26</v>
      </c>
      <c r="B24" s="1"/>
      <c r="C24" s="3" t="s">
        <v>259</v>
      </c>
    </row>
    <row r="25" spans="1:3" x14ac:dyDescent="0.25">
      <c r="A25" s="1" t="s">
        <v>27</v>
      </c>
      <c r="B25" s="1"/>
      <c r="C25" s="3" t="s">
        <v>260</v>
      </c>
    </row>
    <row r="26" spans="1:3" x14ac:dyDescent="0.25">
      <c r="A26" s="1" t="s">
        <v>28</v>
      </c>
      <c r="B26" s="1"/>
      <c r="C26" s="3" t="s">
        <v>261</v>
      </c>
    </row>
    <row r="27" spans="1:3" x14ac:dyDescent="0.25">
      <c r="A27" s="1" t="s">
        <v>29</v>
      </c>
      <c r="B27" s="1"/>
      <c r="C27" s="3" t="s">
        <v>262</v>
      </c>
    </row>
    <row r="28" spans="1:3" ht="31.5" x14ac:dyDescent="0.25">
      <c r="A28" s="1" t="s">
        <v>30</v>
      </c>
      <c r="B28" s="1" t="s">
        <v>264</v>
      </c>
      <c r="C28" s="3" t="s">
        <v>263</v>
      </c>
    </row>
    <row r="29" spans="1:3" ht="31.5" x14ac:dyDescent="0.25">
      <c r="A29" s="1" t="s">
        <v>31</v>
      </c>
      <c r="B29" s="1"/>
      <c r="C29" s="3" t="s">
        <v>265</v>
      </c>
    </row>
    <row r="30" spans="1:3" x14ac:dyDescent="0.25">
      <c r="A30" s="1" t="s">
        <v>32</v>
      </c>
      <c r="B30" s="1" t="s">
        <v>641</v>
      </c>
      <c r="C30" s="6"/>
    </row>
    <row r="31" spans="1:3" x14ac:dyDescent="0.25">
      <c r="A31" s="1" t="s">
        <v>33</v>
      </c>
      <c r="B31" s="1"/>
      <c r="C31" s="4"/>
    </row>
    <row r="32" spans="1:3" x14ac:dyDescent="0.25">
      <c r="A32" s="1" t="s">
        <v>34</v>
      </c>
      <c r="B32" s="1"/>
      <c r="C32" s="3" t="s">
        <v>267</v>
      </c>
    </row>
    <row r="33" spans="1:3" x14ac:dyDescent="0.25">
      <c r="A33" s="1" t="s">
        <v>35</v>
      </c>
      <c r="B33" s="1"/>
      <c r="C33" s="3" t="s">
        <v>259</v>
      </c>
    </row>
    <row r="34" spans="1:3" x14ac:dyDescent="0.25">
      <c r="A34" s="1" t="s">
        <v>36</v>
      </c>
      <c r="B34" s="1"/>
      <c r="C34" s="3" t="s">
        <v>259</v>
      </c>
    </row>
    <row r="35" spans="1:3" ht="31.5" x14ac:dyDescent="0.25">
      <c r="A35" s="1" t="s">
        <v>37</v>
      </c>
      <c r="B35" s="1"/>
      <c r="C35" s="3" t="s">
        <v>268</v>
      </c>
    </row>
    <row r="36" spans="1:3" x14ac:dyDescent="0.25">
      <c r="A36" s="1" t="s">
        <v>38</v>
      </c>
      <c r="B36" s="1"/>
      <c r="C36" s="3" t="s">
        <v>269</v>
      </c>
    </row>
    <row r="37" spans="1:3" x14ac:dyDescent="0.25">
      <c r="A37" s="1" t="s">
        <v>39</v>
      </c>
      <c r="B37" s="1"/>
      <c r="C37" s="3" t="s">
        <v>270</v>
      </c>
    </row>
    <row r="38" spans="1:3" x14ac:dyDescent="0.25">
      <c r="A38" s="1" t="s">
        <v>40</v>
      </c>
      <c r="B38" s="1"/>
      <c r="C38" s="3" t="s">
        <v>271</v>
      </c>
    </row>
    <row r="39" spans="1:3" x14ac:dyDescent="0.25">
      <c r="A39" s="1" t="s">
        <v>41</v>
      </c>
      <c r="B39" s="1"/>
      <c r="C39" s="10" t="s">
        <v>272</v>
      </c>
    </row>
    <row r="40" spans="1:3" x14ac:dyDescent="0.25">
      <c r="A40" s="1" t="s">
        <v>42</v>
      </c>
      <c r="B40" s="1"/>
      <c r="C40" s="10" t="s">
        <v>273</v>
      </c>
    </row>
    <row r="41" spans="1:3" x14ac:dyDescent="0.25">
      <c r="A41" s="1" t="s">
        <v>43</v>
      </c>
      <c r="B41" s="1" t="str">
        <f>TEXT(ROUND(256/48, 0)*1024, "0")</f>
        <v>5120</v>
      </c>
      <c r="C41" s="3" t="s">
        <v>274</v>
      </c>
    </row>
    <row r="42" spans="1:3" x14ac:dyDescent="0.25">
      <c r="A42" s="1" t="s">
        <v>44</v>
      </c>
      <c r="B42" s="1"/>
      <c r="C42" s="3" t="s">
        <v>275</v>
      </c>
    </row>
    <row r="43" spans="1:3" x14ac:dyDescent="0.25">
      <c r="A43" s="1" t="s">
        <v>45</v>
      </c>
      <c r="B43" s="1"/>
      <c r="C43" s="3" t="s">
        <v>275</v>
      </c>
    </row>
    <row r="44" spans="1:3" x14ac:dyDescent="0.25">
      <c r="A44" s="1" t="s">
        <v>46</v>
      </c>
      <c r="B44" s="1"/>
      <c r="C44" s="3" t="s">
        <v>276</v>
      </c>
    </row>
    <row r="45" spans="1:3" x14ac:dyDescent="0.25">
      <c r="A45" s="1" t="s">
        <v>47</v>
      </c>
      <c r="B45" s="1"/>
      <c r="C45" s="3" t="s">
        <v>277</v>
      </c>
    </row>
    <row r="46" spans="1:3" x14ac:dyDescent="0.25">
      <c r="A46" s="1" t="s">
        <v>48</v>
      </c>
      <c r="B46" s="1"/>
      <c r="C46" s="3" t="s">
        <v>278</v>
      </c>
    </row>
    <row r="47" spans="1:3" x14ac:dyDescent="0.25">
      <c r="A47" s="1" t="s">
        <v>49</v>
      </c>
      <c r="B47" s="1" t="s">
        <v>279</v>
      </c>
      <c r="C47" s="3" t="s">
        <v>280</v>
      </c>
    </row>
    <row r="48" spans="1:3" x14ac:dyDescent="0.25">
      <c r="A48" s="1" t="s">
        <v>50</v>
      </c>
      <c r="B48" s="1" t="s">
        <v>622</v>
      </c>
      <c r="C48" s="36" t="s">
        <v>621</v>
      </c>
    </row>
    <row r="49" spans="1:3" x14ac:dyDescent="0.25">
      <c r="A49" s="1" t="s">
        <v>51</v>
      </c>
      <c r="B49" s="1"/>
      <c r="C49" s="3" t="s">
        <v>281</v>
      </c>
    </row>
    <row r="50" spans="1:3" x14ac:dyDescent="0.25">
      <c r="A50" s="1" t="s">
        <v>52</v>
      </c>
      <c r="B50" s="1"/>
      <c r="C50" s="10" t="s">
        <v>438</v>
      </c>
    </row>
    <row r="51" spans="1:3" x14ac:dyDescent="0.25">
      <c r="A51" s="1" t="s">
        <v>53</v>
      </c>
      <c r="B51" s="1">
        <v>5</v>
      </c>
      <c r="C51" s="6" t="s">
        <v>282</v>
      </c>
    </row>
    <row r="52" spans="1:3" x14ac:dyDescent="0.25">
      <c r="A52" s="1" t="s">
        <v>54</v>
      </c>
      <c r="B52" s="1"/>
      <c r="C52" s="3" t="s">
        <v>283</v>
      </c>
    </row>
    <row r="53" spans="1:3" x14ac:dyDescent="0.25">
      <c r="A53" s="1" t="s">
        <v>55</v>
      </c>
      <c r="B53" s="1"/>
      <c r="C53" s="3" t="s">
        <v>284</v>
      </c>
    </row>
    <row r="54" spans="1:3" x14ac:dyDescent="0.25">
      <c r="A54" s="1" t="s">
        <v>56</v>
      </c>
      <c r="B54" s="1"/>
      <c r="C54" s="3" t="s">
        <v>285</v>
      </c>
    </row>
    <row r="55" spans="1:3" x14ac:dyDescent="0.25">
      <c r="A55" s="1" t="s">
        <v>57</v>
      </c>
      <c r="B55" s="1" t="s">
        <v>634</v>
      </c>
      <c r="C55" s="3" t="s">
        <v>286</v>
      </c>
    </row>
    <row r="56" spans="1:3" x14ac:dyDescent="0.25">
      <c r="A56" s="1" t="s">
        <v>58</v>
      </c>
      <c r="B56" s="1"/>
      <c r="C56" s="3" t="s">
        <v>287</v>
      </c>
    </row>
    <row r="57" spans="1:3" x14ac:dyDescent="0.25">
      <c r="A57" s="1" t="s">
        <v>59</v>
      </c>
      <c r="B57" s="1"/>
      <c r="C57" s="3" t="s">
        <v>288</v>
      </c>
    </row>
    <row r="58" spans="1:3" x14ac:dyDescent="0.25">
      <c r="A58" s="1" t="s">
        <v>60</v>
      </c>
      <c r="B58" s="1" t="s">
        <v>290</v>
      </c>
      <c r="C58" s="3" t="s">
        <v>289</v>
      </c>
    </row>
    <row r="59" spans="1:3" x14ac:dyDescent="0.25">
      <c r="A59" s="1" t="s">
        <v>61</v>
      </c>
      <c r="B59" s="1"/>
      <c r="C59" s="3" t="s">
        <v>291</v>
      </c>
    </row>
    <row r="60" spans="1:3" x14ac:dyDescent="0.25">
      <c r="A60" s="1" t="s">
        <v>62</v>
      </c>
      <c r="B60" s="1">
        <v>300</v>
      </c>
      <c r="C60" s="3" t="s">
        <v>294</v>
      </c>
    </row>
    <row r="61" spans="1:3" x14ac:dyDescent="0.25">
      <c r="A61" s="1" t="s">
        <v>63</v>
      </c>
      <c r="B61" s="1" t="s">
        <v>293</v>
      </c>
      <c r="C61" s="3" t="s">
        <v>292</v>
      </c>
    </row>
    <row r="62" spans="1:3" x14ac:dyDescent="0.25">
      <c r="A62" s="1" t="s">
        <v>64</v>
      </c>
      <c r="B62" s="1" t="s">
        <v>623</v>
      </c>
      <c r="C62" s="6" t="s">
        <v>624</v>
      </c>
    </row>
    <row r="63" spans="1:3" x14ac:dyDescent="0.25">
      <c r="A63" s="1" t="s">
        <v>65</v>
      </c>
      <c r="B63" s="1" t="s">
        <v>304</v>
      </c>
      <c r="C63" s="3" t="s">
        <v>295</v>
      </c>
    </row>
    <row r="64" spans="1:3" x14ac:dyDescent="0.25">
      <c r="A64" s="1" t="s">
        <v>66</v>
      </c>
      <c r="B64" s="1"/>
      <c r="C64" s="3" t="s">
        <v>296</v>
      </c>
    </row>
    <row r="65" spans="1:3" x14ac:dyDescent="0.25">
      <c r="A65" s="1" t="s">
        <v>67</v>
      </c>
      <c r="B65" s="1" t="s">
        <v>330</v>
      </c>
      <c r="C65" s="3"/>
    </row>
    <row r="66" spans="1:3" ht="31.5" x14ac:dyDescent="0.25">
      <c r="A66" s="1" t="s">
        <v>68</v>
      </c>
      <c r="B66" s="1" t="s">
        <v>297</v>
      </c>
      <c r="C66" s="6" t="s">
        <v>298</v>
      </c>
    </row>
    <row r="67" spans="1:3" ht="31.5" x14ac:dyDescent="0.25">
      <c r="A67" s="1" t="s">
        <v>69</v>
      </c>
      <c r="B67" s="1"/>
      <c r="C67" s="3" t="s">
        <v>299</v>
      </c>
    </row>
    <row r="68" spans="1:3" x14ac:dyDescent="0.25">
      <c r="A68" s="1" t="s">
        <v>70</v>
      </c>
      <c r="B68" s="1" t="s">
        <v>639</v>
      </c>
      <c r="C68" s="3"/>
    </row>
    <row r="69" spans="1:3" x14ac:dyDescent="0.25">
      <c r="A69" s="1" t="s">
        <v>71</v>
      </c>
      <c r="B69" s="1" t="s">
        <v>300</v>
      </c>
      <c r="C69" s="36" t="s">
        <v>292</v>
      </c>
    </row>
    <row r="70" spans="1:3" x14ac:dyDescent="0.25">
      <c r="A70" s="1" t="s">
        <v>72</v>
      </c>
      <c r="B70" s="1"/>
      <c r="C70" s="3" t="s">
        <v>302</v>
      </c>
    </row>
    <row r="71" spans="1:3" x14ac:dyDescent="0.25">
      <c r="A71" s="1" t="s">
        <v>73</v>
      </c>
      <c r="B71" s="1" t="s">
        <v>303</v>
      </c>
      <c r="C71" s="4"/>
    </row>
    <row r="72" spans="1:3" x14ac:dyDescent="0.25">
      <c r="A72" s="1" t="s">
        <v>74</v>
      </c>
      <c r="B72" s="1">
        <v>3306</v>
      </c>
      <c r="C72" s="4"/>
    </row>
    <row r="73" spans="1:3" x14ac:dyDescent="0.25">
      <c r="A73" s="1" t="s">
        <v>75</v>
      </c>
      <c r="B73" s="1" t="s">
        <v>301</v>
      </c>
      <c r="C73" s="3"/>
    </row>
    <row r="74" spans="1:3" x14ac:dyDescent="0.25">
      <c r="A74" s="1" t="s">
        <v>76</v>
      </c>
      <c r="B74" s="1" t="s">
        <v>625</v>
      </c>
      <c r="C74" s="4"/>
    </row>
    <row r="75" spans="1:3" ht="31.5" x14ac:dyDescent="0.25">
      <c r="A75" s="1" t="s">
        <v>77</v>
      </c>
      <c r="B75" s="1" t="s">
        <v>305</v>
      </c>
      <c r="C75" s="3" t="s">
        <v>619</v>
      </c>
    </row>
    <row r="76" spans="1:3" x14ac:dyDescent="0.25">
      <c r="A76" s="1" t="s">
        <v>78</v>
      </c>
      <c r="B76" s="1"/>
      <c r="C76" s="3" t="s">
        <v>307</v>
      </c>
    </row>
    <row r="77" spans="1:3" x14ac:dyDescent="0.25">
      <c r="A77" s="1" t="s">
        <v>79</v>
      </c>
      <c r="B77" s="1"/>
      <c r="C77" s="3" t="s">
        <v>308</v>
      </c>
    </row>
    <row r="78" spans="1:3" ht="47.25" x14ac:dyDescent="0.25">
      <c r="A78" s="1" t="s">
        <v>80</v>
      </c>
      <c r="B78" s="1" t="s">
        <v>362</v>
      </c>
      <c r="C78" s="6" t="s">
        <v>361</v>
      </c>
    </row>
    <row r="79" spans="1:3" x14ac:dyDescent="0.25">
      <c r="A79" s="1" t="s">
        <v>81</v>
      </c>
      <c r="B79" s="1">
        <v>1</v>
      </c>
      <c r="C79" s="3" t="s">
        <v>363</v>
      </c>
    </row>
    <row r="80" spans="1:3" x14ac:dyDescent="0.25">
      <c r="A80" s="1" t="s">
        <v>82</v>
      </c>
      <c r="B80" s="1"/>
      <c r="C80" s="3" t="s">
        <v>364</v>
      </c>
    </row>
    <row r="81" spans="1:3" x14ac:dyDescent="0.25">
      <c r="A81" s="1" t="s">
        <v>83</v>
      </c>
      <c r="B81" s="1"/>
      <c r="C81" s="3" t="s">
        <v>365</v>
      </c>
    </row>
    <row r="82" spans="1:3" x14ac:dyDescent="0.25">
      <c r="A82" s="1" t="s">
        <v>84</v>
      </c>
      <c r="B82" s="1"/>
      <c r="C82" s="10" t="s">
        <v>374</v>
      </c>
    </row>
    <row r="83" spans="1:3" ht="31.5" x14ac:dyDescent="0.25">
      <c r="A83" s="1" t="s">
        <v>85</v>
      </c>
      <c r="B83" s="1" t="s">
        <v>521</v>
      </c>
      <c r="C83" s="33" t="s">
        <v>626</v>
      </c>
    </row>
    <row r="84" spans="1:3" x14ac:dyDescent="0.25">
      <c r="A84" s="1" t="s">
        <v>86</v>
      </c>
      <c r="B84" s="1"/>
      <c r="C84" s="10" t="s">
        <v>379</v>
      </c>
    </row>
    <row r="85" spans="1:3" x14ac:dyDescent="0.25">
      <c r="A85" s="1" t="s">
        <v>87</v>
      </c>
      <c r="B85" s="1"/>
      <c r="C85" s="3" t="s">
        <v>380</v>
      </c>
    </row>
    <row r="86" spans="1:3" x14ac:dyDescent="0.25">
      <c r="A86" s="1" t="s">
        <v>88</v>
      </c>
      <c r="B86" s="1"/>
      <c r="C86" s="6" t="s">
        <v>381</v>
      </c>
    </row>
    <row r="87" spans="1:3" x14ac:dyDescent="0.25">
      <c r="A87" s="1" t="s">
        <v>89</v>
      </c>
      <c r="B87" s="1"/>
      <c r="C87" s="6" t="s">
        <v>381</v>
      </c>
    </row>
    <row r="88" spans="1:3" x14ac:dyDescent="0.25">
      <c r="A88" s="1" t="s">
        <v>90</v>
      </c>
      <c r="B88" s="1"/>
      <c r="C88" s="3" t="s">
        <v>382</v>
      </c>
    </row>
    <row r="89" spans="1:3" x14ac:dyDescent="0.25">
      <c r="A89" s="1" t="s">
        <v>91</v>
      </c>
      <c r="B89" s="1"/>
      <c r="C89" s="3" t="s">
        <v>383</v>
      </c>
    </row>
    <row r="90" spans="1:3" x14ac:dyDescent="0.25">
      <c r="A90" s="1" t="s">
        <v>92</v>
      </c>
      <c r="B90" s="1"/>
      <c r="C90" s="3" t="s">
        <v>383</v>
      </c>
    </row>
    <row r="91" spans="1:3" x14ac:dyDescent="0.25">
      <c r="A91" s="1" t="s">
        <v>93</v>
      </c>
      <c r="B91" s="1"/>
      <c r="C91" s="3" t="s">
        <v>384</v>
      </c>
    </row>
    <row r="92" spans="1:3" x14ac:dyDescent="0.25">
      <c r="A92" s="1" t="s">
        <v>94</v>
      </c>
      <c r="B92" s="1"/>
      <c r="C92" s="3" t="s">
        <v>385</v>
      </c>
    </row>
    <row r="93" spans="1:3" x14ac:dyDescent="0.25">
      <c r="A93" s="1" t="s">
        <v>95</v>
      </c>
      <c r="B93" s="1"/>
      <c r="C93" s="3" t="s">
        <v>385</v>
      </c>
    </row>
    <row r="94" spans="1:3" x14ac:dyDescent="0.25">
      <c r="A94" s="1" t="s">
        <v>96</v>
      </c>
      <c r="B94" s="1">
        <v>11</v>
      </c>
      <c r="C94" s="3" t="s">
        <v>386</v>
      </c>
    </row>
    <row r="95" spans="1:3" x14ac:dyDescent="0.25">
      <c r="A95" s="1" t="s">
        <v>97</v>
      </c>
      <c r="B95" s="1"/>
      <c r="C95" s="3" t="s">
        <v>387</v>
      </c>
    </row>
    <row r="96" spans="1:3" x14ac:dyDescent="0.25">
      <c r="A96" s="1" t="s">
        <v>98</v>
      </c>
      <c r="B96" s="1"/>
      <c r="C96" s="3" t="s">
        <v>388</v>
      </c>
    </row>
    <row r="97" spans="1:3" ht="31.5" x14ac:dyDescent="0.25">
      <c r="A97" s="1" t="s">
        <v>99</v>
      </c>
      <c r="B97" s="1"/>
      <c r="C97" s="3" t="s">
        <v>390</v>
      </c>
    </row>
    <row r="98" spans="1:3" ht="63" x14ac:dyDescent="0.25">
      <c r="A98" s="1" t="s">
        <v>100</v>
      </c>
      <c r="B98" s="1"/>
      <c r="C98" s="6" t="s">
        <v>391</v>
      </c>
    </row>
    <row r="99" spans="1:3" ht="31.5" x14ac:dyDescent="0.25">
      <c r="A99" s="1" t="s">
        <v>101</v>
      </c>
      <c r="B99" s="1"/>
      <c r="C99" s="3" t="s">
        <v>392</v>
      </c>
    </row>
    <row r="100" spans="1:3" x14ac:dyDescent="0.25">
      <c r="A100" s="1" t="s">
        <v>102</v>
      </c>
      <c r="B100" s="1"/>
      <c r="C100" s="3" t="s">
        <v>393</v>
      </c>
    </row>
    <row r="101" spans="1:3" ht="47.25" x14ac:dyDescent="0.25">
      <c r="A101" s="1" t="s">
        <v>103</v>
      </c>
      <c r="B101" s="1" t="s">
        <v>406</v>
      </c>
      <c r="C101" s="30" t="s">
        <v>410</v>
      </c>
    </row>
    <row r="102" spans="1:3" x14ac:dyDescent="0.25">
      <c r="A102" s="1" t="s">
        <v>104</v>
      </c>
      <c r="B102" s="1"/>
      <c r="C102" s="3" t="s">
        <v>407</v>
      </c>
    </row>
    <row r="103" spans="1:3" x14ac:dyDescent="0.25">
      <c r="A103" s="1" t="s">
        <v>105</v>
      </c>
      <c r="B103" s="1"/>
      <c r="C103" s="3" t="s">
        <v>408</v>
      </c>
    </row>
    <row r="104" spans="1:3" x14ac:dyDescent="0.25">
      <c r="A104" s="1" t="s">
        <v>106</v>
      </c>
      <c r="B104" s="1"/>
      <c r="C104" s="3" t="s">
        <v>409</v>
      </c>
    </row>
    <row r="105" spans="1:3" x14ac:dyDescent="0.25">
      <c r="A105" s="1" t="s">
        <v>107</v>
      </c>
      <c r="B105" s="1"/>
      <c r="C105" s="6" t="s">
        <v>416</v>
      </c>
    </row>
    <row r="106" spans="1:3" x14ac:dyDescent="0.25">
      <c r="A106" s="1" t="s">
        <v>108</v>
      </c>
      <c r="B106" s="1"/>
      <c r="C106" s="3" t="s">
        <v>414</v>
      </c>
    </row>
    <row r="107" spans="1:3" x14ac:dyDescent="0.25">
      <c r="A107" s="1" t="s">
        <v>109</v>
      </c>
      <c r="B107" s="1"/>
      <c r="C107" s="3" t="s">
        <v>413</v>
      </c>
    </row>
    <row r="108" spans="1:3" x14ac:dyDescent="0.25">
      <c r="A108" s="1" t="s">
        <v>110</v>
      </c>
      <c r="B108" s="1"/>
      <c r="C108" s="3" t="s">
        <v>415</v>
      </c>
    </row>
    <row r="109" spans="1:3" x14ac:dyDescent="0.25">
      <c r="A109" s="1" t="s">
        <v>111</v>
      </c>
      <c r="B109" s="1"/>
      <c r="C109" s="3" t="s">
        <v>413</v>
      </c>
    </row>
    <row r="110" spans="1:3" x14ac:dyDescent="0.25">
      <c r="A110" s="1" t="s">
        <v>112</v>
      </c>
      <c r="B110" s="1"/>
      <c r="C110" s="3" t="s">
        <v>417</v>
      </c>
    </row>
    <row r="111" spans="1:3" x14ac:dyDescent="0.25">
      <c r="A111" s="1" t="s">
        <v>113</v>
      </c>
      <c r="B111" s="1"/>
      <c r="C111" s="3" t="s">
        <v>418</v>
      </c>
    </row>
    <row r="112" spans="1:3" x14ac:dyDescent="0.25">
      <c r="A112" s="1" t="s">
        <v>114</v>
      </c>
      <c r="B112" s="1"/>
      <c r="C112" s="3" t="s">
        <v>419</v>
      </c>
    </row>
    <row r="113" spans="1:3" x14ac:dyDescent="0.25">
      <c r="A113" s="1" t="s">
        <v>115</v>
      </c>
      <c r="B113" s="5" t="s">
        <v>224</v>
      </c>
      <c r="C113" s="3" t="s">
        <v>225</v>
      </c>
    </row>
    <row r="114" spans="1:3" x14ac:dyDescent="0.25">
      <c r="A114" s="1" t="s">
        <v>116</v>
      </c>
      <c r="B114" s="1"/>
      <c r="C114" s="3" t="s">
        <v>420</v>
      </c>
    </row>
    <row r="115" spans="1:3" x14ac:dyDescent="0.25">
      <c r="A115" s="1" t="s">
        <v>117</v>
      </c>
      <c r="B115" s="1"/>
      <c r="C115" s="3" t="s">
        <v>421</v>
      </c>
    </row>
    <row r="116" spans="1:3" x14ac:dyDescent="0.25">
      <c r="A116" s="1" t="s">
        <v>118</v>
      </c>
      <c r="B116" s="1"/>
      <c r="C116" s="3" t="s">
        <v>422</v>
      </c>
    </row>
    <row r="117" spans="1:3" x14ac:dyDescent="0.25">
      <c r="A117" s="1" t="s">
        <v>119</v>
      </c>
      <c r="B117" s="1"/>
      <c r="C117" s="3" t="s">
        <v>423</v>
      </c>
    </row>
    <row r="118" spans="1:3" x14ac:dyDescent="0.25">
      <c r="A118" s="1" t="s">
        <v>120</v>
      </c>
      <c r="B118" s="1"/>
      <c r="C118" s="3" t="s">
        <v>423</v>
      </c>
    </row>
    <row r="119" spans="1:3" x14ac:dyDescent="0.25">
      <c r="A119" s="1" t="s">
        <v>121</v>
      </c>
      <c r="B119" s="1"/>
      <c r="C119" s="3" t="s">
        <v>424</v>
      </c>
    </row>
    <row r="120" spans="1:3" x14ac:dyDescent="0.25">
      <c r="A120" s="1" t="s">
        <v>122</v>
      </c>
      <c r="B120" s="1" t="s">
        <v>223</v>
      </c>
      <c r="C120" s="3" t="s">
        <v>425</v>
      </c>
    </row>
    <row r="121" spans="1:3" x14ac:dyDescent="0.25">
      <c r="A121" s="1" t="s">
        <v>123</v>
      </c>
      <c r="B121" s="1"/>
      <c r="C121" s="3" t="s">
        <v>426</v>
      </c>
    </row>
    <row r="122" spans="1:3" x14ac:dyDescent="0.25">
      <c r="A122" s="1" t="s">
        <v>124</v>
      </c>
      <c r="B122" s="1">
        <v>1</v>
      </c>
      <c r="C122" s="3" t="s">
        <v>427</v>
      </c>
    </row>
    <row r="123" spans="1:3" x14ac:dyDescent="0.25">
      <c r="A123" s="1" t="s">
        <v>125</v>
      </c>
      <c r="B123" s="1"/>
      <c r="C123" s="3" t="s">
        <v>429</v>
      </c>
    </row>
    <row r="124" spans="1:3" x14ac:dyDescent="0.25">
      <c r="A124" s="1" t="s">
        <v>126</v>
      </c>
      <c r="B124" s="1">
        <v>1</v>
      </c>
      <c r="C124" s="3" t="s">
        <v>428</v>
      </c>
    </row>
    <row r="125" spans="1:3" ht="31.5" x14ac:dyDescent="0.25">
      <c r="A125" s="1" t="s">
        <v>127</v>
      </c>
      <c r="B125" s="1"/>
      <c r="C125" s="3" t="s">
        <v>430</v>
      </c>
    </row>
    <row r="126" spans="1:3" x14ac:dyDescent="0.25">
      <c r="A126" s="1" t="s">
        <v>128</v>
      </c>
      <c r="B126" s="1"/>
      <c r="C126" s="3" t="s">
        <v>431</v>
      </c>
    </row>
    <row r="127" spans="1:3" x14ac:dyDescent="0.25">
      <c r="A127" s="1" t="s">
        <v>129</v>
      </c>
      <c r="B127" s="1"/>
      <c r="C127" s="3" t="s">
        <v>432</v>
      </c>
    </row>
    <row r="128" spans="1:3" ht="31.5" x14ac:dyDescent="0.25">
      <c r="A128" s="1" t="s">
        <v>130</v>
      </c>
      <c r="B128" s="1"/>
      <c r="C128" s="3" t="s">
        <v>433</v>
      </c>
    </row>
    <row r="129" spans="1:3" x14ac:dyDescent="0.25">
      <c r="A129" s="1" t="s">
        <v>131</v>
      </c>
      <c r="B129" s="1" t="s">
        <v>434</v>
      </c>
      <c r="C129" s="3" t="s">
        <v>435</v>
      </c>
    </row>
    <row r="130" spans="1:3" ht="47.25" x14ac:dyDescent="0.25">
      <c r="A130" s="1" t="s">
        <v>132</v>
      </c>
      <c r="B130" s="1" t="s">
        <v>304</v>
      </c>
      <c r="C130" s="3" t="s">
        <v>630</v>
      </c>
    </row>
    <row r="131" spans="1:3" x14ac:dyDescent="0.25">
      <c r="A131" s="1" t="s">
        <v>133</v>
      </c>
      <c r="B131" s="1" t="s">
        <v>627</v>
      </c>
      <c r="C131" s="36" t="s">
        <v>628</v>
      </c>
    </row>
    <row r="132" spans="1:3" x14ac:dyDescent="0.25">
      <c r="A132" s="1" t="s">
        <v>134</v>
      </c>
      <c r="B132" s="1"/>
      <c r="C132" s="10" t="s">
        <v>436</v>
      </c>
    </row>
    <row r="133" spans="1:3" x14ac:dyDescent="0.25">
      <c r="A133" s="1" t="s">
        <v>135</v>
      </c>
      <c r="B133" s="1" t="s">
        <v>306</v>
      </c>
      <c r="C133" s="3" t="s">
        <v>329</v>
      </c>
    </row>
    <row r="134" spans="1:3" x14ac:dyDescent="0.25">
      <c r="A134" s="1" t="s">
        <v>136</v>
      </c>
      <c r="B134" s="1"/>
      <c r="C134" s="10" t="s">
        <v>437</v>
      </c>
    </row>
    <row r="135" spans="1:3" ht="31.5" x14ac:dyDescent="0.25">
      <c r="A135" s="1" t="s">
        <v>137</v>
      </c>
      <c r="B135" s="1"/>
      <c r="C135" s="3" t="s">
        <v>439</v>
      </c>
    </row>
    <row r="136" spans="1:3" x14ac:dyDescent="0.25">
      <c r="A136" s="1" t="s">
        <v>138</v>
      </c>
      <c r="B136" s="1"/>
      <c r="C136" s="3" t="s">
        <v>631</v>
      </c>
    </row>
    <row r="137" spans="1:3" x14ac:dyDescent="0.25">
      <c r="A137" s="1" t="s">
        <v>139</v>
      </c>
      <c r="B137" s="1"/>
      <c r="C137" s="3" t="s">
        <v>440</v>
      </c>
    </row>
    <row r="138" spans="1:3" x14ac:dyDescent="0.25">
      <c r="A138" s="1" t="s">
        <v>140</v>
      </c>
      <c r="B138" s="1"/>
      <c r="C138" s="10" t="s">
        <v>441</v>
      </c>
    </row>
    <row r="139" spans="1:3" ht="31.5" x14ac:dyDescent="0.25">
      <c r="A139" s="1" t="s">
        <v>141</v>
      </c>
      <c r="B139" s="1"/>
      <c r="C139" s="10" t="s">
        <v>442</v>
      </c>
    </row>
    <row r="140" spans="1:3" ht="31.5" x14ac:dyDescent="0.25">
      <c r="A140" s="1" t="s">
        <v>142</v>
      </c>
      <c r="B140" s="1"/>
      <c r="C140" s="3" t="s">
        <v>443</v>
      </c>
    </row>
    <row r="141" spans="1:3" x14ac:dyDescent="0.25">
      <c r="A141" s="1" t="s">
        <v>143</v>
      </c>
      <c r="B141" s="1"/>
      <c r="C141" s="3" t="s">
        <v>444</v>
      </c>
    </row>
    <row r="142" spans="1:3" ht="31.5" x14ac:dyDescent="0.25">
      <c r="A142" s="1" t="s">
        <v>144</v>
      </c>
      <c r="B142" s="1"/>
      <c r="C142" s="3" t="s">
        <v>445</v>
      </c>
    </row>
    <row r="143" spans="1:3" ht="31.5" x14ac:dyDescent="0.25">
      <c r="A143" s="1" t="s">
        <v>145</v>
      </c>
      <c r="B143" s="1"/>
      <c r="C143" s="10" t="s">
        <v>446</v>
      </c>
    </row>
    <row r="144" spans="1:3" x14ac:dyDescent="0.25">
      <c r="A144" s="1" t="s">
        <v>146</v>
      </c>
      <c r="B144" s="1"/>
      <c r="C144" s="3" t="s">
        <v>447</v>
      </c>
    </row>
    <row r="145" spans="1:3" ht="31.5" x14ac:dyDescent="0.25">
      <c r="A145" s="1" t="s">
        <v>147</v>
      </c>
      <c r="B145" s="1"/>
      <c r="C145" s="3" t="s">
        <v>448</v>
      </c>
    </row>
    <row r="146" spans="1:3" ht="31.5" x14ac:dyDescent="0.25">
      <c r="A146" s="1" t="s">
        <v>148</v>
      </c>
      <c r="B146" s="1"/>
      <c r="C146" s="10" t="s">
        <v>451</v>
      </c>
    </row>
    <row r="147" spans="1:3" x14ac:dyDescent="0.25">
      <c r="A147" s="1" t="s">
        <v>149</v>
      </c>
      <c r="B147" s="1"/>
      <c r="C147" s="3" t="s">
        <v>449</v>
      </c>
    </row>
    <row r="148" spans="1:3" x14ac:dyDescent="0.25">
      <c r="A148" s="1" t="s">
        <v>150</v>
      </c>
      <c r="B148" s="1"/>
      <c r="C148" s="3" t="s">
        <v>450</v>
      </c>
    </row>
    <row r="149" spans="1:3" ht="31.5" x14ac:dyDescent="0.25">
      <c r="A149" s="1" t="s">
        <v>151</v>
      </c>
      <c r="B149" s="1"/>
      <c r="C149" s="3" t="s">
        <v>452</v>
      </c>
    </row>
    <row r="150" spans="1:3" ht="47.25" x14ac:dyDescent="0.25">
      <c r="A150" s="1" t="s">
        <v>152</v>
      </c>
      <c r="B150" s="1" t="s">
        <v>454</v>
      </c>
      <c r="C150" s="10" t="s">
        <v>453</v>
      </c>
    </row>
    <row r="151" spans="1:3" x14ac:dyDescent="0.25">
      <c r="A151" s="1" t="s">
        <v>153</v>
      </c>
      <c r="B151" s="1"/>
      <c r="C151" s="3" t="s">
        <v>455</v>
      </c>
    </row>
    <row r="152" spans="1:3" x14ac:dyDescent="0.25">
      <c r="A152" s="1" t="s">
        <v>154</v>
      </c>
      <c r="B152" s="1" t="s">
        <v>211</v>
      </c>
      <c r="C152" s="3" t="s">
        <v>458</v>
      </c>
    </row>
    <row r="153" spans="1:3" ht="31.5" x14ac:dyDescent="0.25">
      <c r="A153" s="1" t="s">
        <v>155</v>
      </c>
      <c r="B153" s="1" t="s">
        <v>456</v>
      </c>
      <c r="C153" s="3" t="s">
        <v>457</v>
      </c>
    </row>
    <row r="154" spans="1:3" x14ac:dyDescent="0.25">
      <c r="A154" s="1" t="s">
        <v>156</v>
      </c>
      <c r="B154" s="1" t="s">
        <v>212</v>
      </c>
      <c r="C154" s="3" t="s">
        <v>459</v>
      </c>
    </row>
    <row r="155" spans="1:3" ht="47.25" x14ac:dyDescent="0.25">
      <c r="A155" s="1" t="s">
        <v>157</v>
      </c>
      <c r="B155" s="1" t="s">
        <v>460</v>
      </c>
      <c r="C155" s="10" t="s">
        <v>468</v>
      </c>
    </row>
    <row r="156" spans="1:3" x14ac:dyDescent="0.25">
      <c r="A156" s="1" t="s">
        <v>158</v>
      </c>
      <c r="B156" s="1"/>
      <c r="C156" s="10" t="s">
        <v>461</v>
      </c>
    </row>
    <row r="157" spans="1:3" x14ac:dyDescent="0.25">
      <c r="A157" s="1" t="s">
        <v>159</v>
      </c>
      <c r="B157" s="1" t="s">
        <v>590</v>
      </c>
      <c r="C157" s="6" t="s">
        <v>592</v>
      </c>
    </row>
    <row r="158" spans="1:3" x14ac:dyDescent="0.25">
      <c r="A158" s="1" t="s">
        <v>160</v>
      </c>
      <c r="B158" s="1" t="s">
        <v>639</v>
      </c>
      <c r="C158" s="3"/>
    </row>
    <row r="159" spans="1:3" x14ac:dyDescent="0.25">
      <c r="A159" s="1" t="s">
        <v>161</v>
      </c>
      <c r="B159" s="1" t="s">
        <v>462</v>
      </c>
      <c r="C159" s="3"/>
    </row>
    <row r="160" spans="1:3" x14ac:dyDescent="0.25">
      <c r="A160" s="1" t="s">
        <v>162</v>
      </c>
      <c r="B160" s="1" t="s">
        <v>463</v>
      </c>
      <c r="C160" s="32" t="s">
        <v>467</v>
      </c>
    </row>
    <row r="161" spans="1:3" x14ac:dyDescent="0.25">
      <c r="A161" s="1" t="s">
        <v>163</v>
      </c>
      <c r="B161" s="1"/>
      <c r="C161" s="3" t="s">
        <v>464</v>
      </c>
    </row>
    <row r="162" spans="1:3" x14ac:dyDescent="0.25">
      <c r="A162" s="1" t="s">
        <v>164</v>
      </c>
      <c r="B162" s="1"/>
      <c r="C162" s="3" t="s">
        <v>466</v>
      </c>
    </row>
    <row r="163" spans="1:3" x14ac:dyDescent="0.25">
      <c r="A163" s="1" t="s">
        <v>165</v>
      </c>
      <c r="B163" s="1"/>
      <c r="C163" s="10" t="s">
        <v>469</v>
      </c>
    </row>
    <row r="164" spans="1:3" x14ac:dyDescent="0.25">
      <c r="A164" s="1" t="s">
        <v>166</v>
      </c>
      <c r="B164" s="1"/>
      <c r="C164" s="10" t="s">
        <v>470</v>
      </c>
    </row>
    <row r="165" spans="1:3" x14ac:dyDescent="0.25">
      <c r="A165" s="1" t="s">
        <v>167</v>
      </c>
      <c r="B165" s="1" t="s">
        <v>590</v>
      </c>
      <c r="C165" s="6" t="s">
        <v>593</v>
      </c>
    </row>
    <row r="166" spans="1:3" x14ac:dyDescent="0.25">
      <c r="A166" s="1" t="s">
        <v>168</v>
      </c>
      <c r="B166" s="1"/>
      <c r="C166" s="3" t="s">
        <v>471</v>
      </c>
    </row>
    <row r="167" spans="1:3" x14ac:dyDescent="0.25">
      <c r="A167" s="1" t="s">
        <v>169</v>
      </c>
      <c r="B167" s="1" t="s">
        <v>590</v>
      </c>
      <c r="C167" s="6" t="s">
        <v>592</v>
      </c>
    </row>
    <row r="168" spans="1:3" x14ac:dyDescent="0.25">
      <c r="A168" s="1" t="s">
        <v>170</v>
      </c>
      <c r="B168" s="1" t="s">
        <v>472</v>
      </c>
      <c r="C168" s="3"/>
    </row>
    <row r="169" spans="1:3" ht="47.25" x14ac:dyDescent="0.25">
      <c r="A169" s="1" t="s">
        <v>171</v>
      </c>
      <c r="B169" s="1" t="s">
        <v>473</v>
      </c>
      <c r="C169" s="31" t="s">
        <v>474</v>
      </c>
    </row>
    <row r="170" spans="1:3" x14ac:dyDescent="0.25">
      <c r="A170" s="1" t="s">
        <v>172</v>
      </c>
      <c r="B170" s="1"/>
      <c r="C170" s="3" t="s">
        <v>465</v>
      </c>
    </row>
    <row r="171" spans="1:3" x14ac:dyDescent="0.25">
      <c r="A171" s="1" t="s">
        <v>173</v>
      </c>
      <c r="B171" s="1"/>
      <c r="C171" s="3" t="s">
        <v>475</v>
      </c>
    </row>
    <row r="172" spans="1:3" x14ac:dyDescent="0.25">
      <c r="A172" s="1" t="s">
        <v>174</v>
      </c>
      <c r="B172" s="1"/>
      <c r="C172" s="3" t="s">
        <v>476</v>
      </c>
    </row>
    <row r="173" spans="1:3" x14ac:dyDescent="0.25">
      <c r="A173" s="1" t="s">
        <v>175</v>
      </c>
      <c r="B173" s="1" t="s">
        <v>590</v>
      </c>
      <c r="C173" s="6" t="s">
        <v>593</v>
      </c>
    </row>
    <row r="174" spans="1:3" x14ac:dyDescent="0.25">
      <c r="A174" s="1" t="s">
        <v>176</v>
      </c>
      <c r="B174" s="1"/>
      <c r="C174" s="3" t="s">
        <v>393</v>
      </c>
    </row>
    <row r="175" spans="1:3" x14ac:dyDescent="0.25">
      <c r="A175" s="1" t="s">
        <v>177</v>
      </c>
      <c r="B175" s="1"/>
      <c r="C175" s="3" t="s">
        <v>477</v>
      </c>
    </row>
    <row r="176" spans="1:3" x14ac:dyDescent="0.25">
      <c r="A176" s="1" t="s">
        <v>178</v>
      </c>
      <c r="B176" s="1" t="s">
        <v>478</v>
      </c>
      <c r="C176" s="3"/>
    </row>
    <row r="177" spans="1:3" x14ac:dyDescent="0.25">
      <c r="A177" s="1" t="s">
        <v>179</v>
      </c>
      <c r="B177" s="1">
        <v>1</v>
      </c>
      <c r="C177" s="3" t="s">
        <v>479</v>
      </c>
    </row>
    <row r="178" spans="1:3" x14ac:dyDescent="0.25">
      <c r="A178" s="1" t="s">
        <v>180</v>
      </c>
      <c r="B178" s="1" t="s">
        <v>642</v>
      </c>
      <c r="C178" s="3" t="s">
        <v>480</v>
      </c>
    </row>
    <row r="179" spans="1:3" ht="31.5" x14ac:dyDescent="0.25">
      <c r="A179" s="1" t="s">
        <v>181</v>
      </c>
      <c r="B179" s="1"/>
      <c r="C179" s="10" t="s">
        <v>481</v>
      </c>
    </row>
    <row r="180" spans="1:3" x14ac:dyDescent="0.25">
      <c r="A180" s="1" t="s">
        <v>182</v>
      </c>
      <c r="B180" s="1"/>
      <c r="C180" s="3" t="s">
        <v>482</v>
      </c>
    </row>
    <row r="181" spans="1:3" ht="31.5" x14ac:dyDescent="0.25">
      <c r="A181" s="1" t="s">
        <v>183</v>
      </c>
      <c r="B181" s="1"/>
      <c r="C181" s="10" t="s">
        <v>483</v>
      </c>
    </row>
    <row r="182" spans="1:3" x14ac:dyDescent="0.25">
      <c r="A182" s="1" t="s">
        <v>184</v>
      </c>
      <c r="B182" s="1"/>
      <c r="C182" s="3" t="s">
        <v>484</v>
      </c>
    </row>
    <row r="183" spans="1:3" x14ac:dyDescent="0.25">
      <c r="A183" s="1" t="s">
        <v>185</v>
      </c>
      <c r="B183" s="1"/>
      <c r="C183" s="3" t="s">
        <v>485</v>
      </c>
    </row>
    <row r="184" spans="1:3" x14ac:dyDescent="0.25">
      <c r="A184" s="1" t="s">
        <v>186</v>
      </c>
      <c r="B184" s="1"/>
      <c r="C184" s="3" t="s">
        <v>485</v>
      </c>
    </row>
    <row r="185" spans="1:3" ht="31.5" x14ac:dyDescent="0.25">
      <c r="A185" s="1" t="s">
        <v>187</v>
      </c>
      <c r="B185" s="1"/>
      <c r="C185" s="3" t="s">
        <v>486</v>
      </c>
    </row>
    <row r="186" spans="1:3" x14ac:dyDescent="0.25">
      <c r="A186" s="1" t="s">
        <v>188</v>
      </c>
      <c r="B186" s="1"/>
      <c r="C186" s="3" t="s">
        <v>487</v>
      </c>
    </row>
    <row r="187" spans="1:3" x14ac:dyDescent="0.25">
      <c r="A187" s="1" t="s">
        <v>189</v>
      </c>
      <c r="B187" s="1"/>
      <c r="C187" s="3" t="s">
        <v>488</v>
      </c>
    </row>
    <row r="188" spans="1:3" x14ac:dyDescent="0.25">
      <c r="A188" s="1" t="s">
        <v>190</v>
      </c>
      <c r="B188" s="1"/>
      <c r="C188" s="3" t="s">
        <v>489</v>
      </c>
    </row>
    <row r="189" spans="1:3" x14ac:dyDescent="0.25">
      <c r="A189" s="1" t="s">
        <v>191</v>
      </c>
      <c r="B189" s="1"/>
      <c r="C189" s="3" t="s">
        <v>455</v>
      </c>
    </row>
    <row r="190" spans="1:3" x14ac:dyDescent="0.25">
      <c r="A190" s="1" t="s">
        <v>192</v>
      </c>
      <c r="B190" s="1"/>
      <c r="C190" s="10" t="s">
        <v>490</v>
      </c>
    </row>
    <row r="191" spans="1:3" x14ac:dyDescent="0.25">
      <c r="A191" s="1" t="s">
        <v>193</v>
      </c>
      <c r="B191" s="1"/>
      <c r="C191" s="10" t="s">
        <v>490</v>
      </c>
    </row>
    <row r="192" spans="1:3" x14ac:dyDescent="0.25">
      <c r="A192" s="1" t="s">
        <v>194</v>
      </c>
      <c r="B192" s="1"/>
      <c r="C192" s="10" t="s">
        <v>491</v>
      </c>
    </row>
    <row r="193" spans="1:3" ht="31.5" x14ac:dyDescent="0.25">
      <c r="A193" s="1" t="s">
        <v>195</v>
      </c>
      <c r="B193" s="1" t="s">
        <v>492</v>
      </c>
      <c r="C193" s="6" t="s">
        <v>493</v>
      </c>
    </row>
    <row r="194" spans="1:3" x14ac:dyDescent="0.25">
      <c r="A194" s="1" t="s">
        <v>196</v>
      </c>
      <c r="B194" s="1"/>
      <c r="C194" s="6" t="s">
        <v>496</v>
      </c>
    </row>
    <row r="195" spans="1:3" x14ac:dyDescent="0.25">
      <c r="A195" s="1" t="s">
        <v>197</v>
      </c>
      <c r="B195" s="1"/>
      <c r="C195" s="10" t="s">
        <v>495</v>
      </c>
    </row>
    <row r="196" spans="1:3" x14ac:dyDescent="0.25">
      <c r="A196" s="1" t="s">
        <v>198</v>
      </c>
      <c r="B196" s="1"/>
      <c r="C196" s="3" t="s">
        <v>497</v>
      </c>
    </row>
    <row r="197" spans="1:3" x14ac:dyDescent="0.25">
      <c r="A197" s="1" t="s">
        <v>199</v>
      </c>
      <c r="B197" s="1"/>
      <c r="C197" s="3" t="s">
        <v>498</v>
      </c>
    </row>
    <row r="198" spans="1:3" x14ac:dyDescent="0.25">
      <c r="A198" s="1" t="s">
        <v>200</v>
      </c>
      <c r="B198" s="1" t="s">
        <v>499</v>
      </c>
      <c r="C198" s="3" t="s">
        <v>500</v>
      </c>
    </row>
    <row r="199" spans="1:3" x14ac:dyDescent="0.25">
      <c r="A199" s="1" t="s">
        <v>201</v>
      </c>
      <c r="B199" s="1" t="s">
        <v>501</v>
      </c>
      <c r="C199" s="3" t="s">
        <v>502</v>
      </c>
    </row>
    <row r="200" spans="1:3" x14ac:dyDescent="0.25">
      <c r="A200" s="1" t="s">
        <v>202</v>
      </c>
      <c r="B200" s="1" t="s">
        <v>331</v>
      </c>
      <c r="C200" s="6" t="s">
        <v>503</v>
      </c>
    </row>
    <row r="201" spans="1:3" x14ac:dyDescent="0.25">
      <c r="A201" s="1" t="s">
        <v>203</v>
      </c>
      <c r="B201" s="1">
        <v>32</v>
      </c>
      <c r="C201" s="3" t="s">
        <v>504</v>
      </c>
    </row>
    <row r="202" spans="1:3" x14ac:dyDescent="0.25">
      <c r="A202" s="1" t="s">
        <v>204</v>
      </c>
      <c r="B202" s="1"/>
      <c r="C202" s="10" t="s">
        <v>505</v>
      </c>
    </row>
    <row r="203" spans="1:3" x14ac:dyDescent="0.25">
      <c r="A203" s="1" t="s">
        <v>205</v>
      </c>
      <c r="B203" s="1"/>
      <c r="C203" s="3" t="s">
        <v>506</v>
      </c>
    </row>
    <row r="204" spans="1:3" ht="31.5" x14ac:dyDescent="0.25">
      <c r="A204" s="1" t="s">
        <v>206</v>
      </c>
      <c r="B204" s="1"/>
      <c r="C204" s="10" t="s">
        <v>507</v>
      </c>
    </row>
    <row r="205" spans="1:3" x14ac:dyDescent="0.25">
      <c r="A205" s="1" t="s">
        <v>207</v>
      </c>
      <c r="B205" s="1"/>
      <c r="C205" s="3" t="s">
        <v>508</v>
      </c>
    </row>
    <row r="206" spans="1:3" x14ac:dyDescent="0.25">
      <c r="A206" s="1" t="s">
        <v>208</v>
      </c>
      <c r="B206" s="1"/>
      <c r="C206" s="3" t="s">
        <v>509</v>
      </c>
    </row>
    <row r="207" spans="1:3" x14ac:dyDescent="0.25">
      <c r="A207" s="1" t="s">
        <v>209</v>
      </c>
      <c r="B207" s="1"/>
      <c r="C207" s="6" t="s">
        <v>510</v>
      </c>
    </row>
    <row r="208" spans="1:3" ht="31.5" x14ac:dyDescent="0.25">
      <c r="A208" s="1" t="s">
        <v>213</v>
      </c>
      <c r="B208" s="1" t="s">
        <v>522</v>
      </c>
      <c r="C208" s="3" t="s">
        <v>511</v>
      </c>
    </row>
    <row r="209" spans="1:3" ht="31.5" x14ac:dyDescent="0.25">
      <c r="A209" s="1" t="s">
        <v>213</v>
      </c>
      <c r="B209" s="1" t="s">
        <v>523</v>
      </c>
      <c r="C209" s="3"/>
    </row>
    <row r="210" spans="1:3" ht="47.25" x14ac:dyDescent="0.25">
      <c r="A210" s="1" t="s">
        <v>213</v>
      </c>
      <c r="B210" s="1" t="s">
        <v>635</v>
      </c>
      <c r="C210" s="10" t="s">
        <v>214</v>
      </c>
    </row>
    <row r="211" spans="1:3" x14ac:dyDescent="0.25">
      <c r="A211" s="1" t="s">
        <v>512</v>
      </c>
      <c r="B211" s="1"/>
      <c r="C211" s="6" t="s">
        <v>513</v>
      </c>
    </row>
    <row r="212" spans="1:3" x14ac:dyDescent="0.25">
      <c r="A212" s="1" t="s">
        <v>514</v>
      </c>
      <c r="B212" s="1" t="s">
        <v>515</v>
      </c>
      <c r="C212" s="3" t="s">
        <v>517</v>
      </c>
    </row>
    <row r="213" spans="1:3" ht="31.5" x14ac:dyDescent="0.25">
      <c r="A213" s="1" t="s">
        <v>514</v>
      </c>
      <c r="B213" s="1" t="s">
        <v>516</v>
      </c>
      <c r="C213" s="3" t="s">
        <v>517</v>
      </c>
    </row>
    <row r="214" spans="1:3" ht="31.5" x14ac:dyDescent="0.25">
      <c r="A214" s="1" t="s">
        <v>226</v>
      </c>
      <c r="B214" s="1" t="s">
        <v>526</v>
      </c>
      <c r="C214" s="3" t="s">
        <v>518</v>
      </c>
    </row>
    <row r="215" spans="1:3" ht="31.5" x14ac:dyDescent="0.25">
      <c r="A215" s="1" t="s">
        <v>226</v>
      </c>
      <c r="B215" s="1" t="s">
        <v>524</v>
      </c>
      <c r="C215" s="3" t="s">
        <v>519</v>
      </c>
    </row>
    <row r="216" spans="1:3" ht="47.25" x14ac:dyDescent="0.25">
      <c r="A216" s="1" t="s">
        <v>226</v>
      </c>
      <c r="B216" s="1" t="s">
        <v>525</v>
      </c>
      <c r="C216" s="3" t="s">
        <v>520</v>
      </c>
    </row>
    <row r="217" spans="1:3" x14ac:dyDescent="0.25">
      <c r="A217" s="1"/>
      <c r="B217" s="1"/>
      <c r="C217" s="3"/>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A51C-8D8D-4DF6-A8B4-F9695BD8D12C}">
  <dimension ref="A1:C55"/>
  <sheetViews>
    <sheetView tabSelected="1" topLeftCell="A25" workbookViewId="0">
      <selection activeCell="B41" sqref="B41"/>
    </sheetView>
  </sheetViews>
  <sheetFormatPr defaultRowHeight="15.75" x14ac:dyDescent="0.25"/>
  <cols>
    <col min="1" max="1" width="24.125" style="21" customWidth="1"/>
    <col min="2" max="2" width="46.875" style="21" customWidth="1"/>
    <col min="3" max="3" width="119.5" style="21" customWidth="1"/>
  </cols>
  <sheetData>
    <row r="1" spans="1:3" x14ac:dyDescent="0.25">
      <c r="A1" s="13" t="s">
        <v>0</v>
      </c>
      <c r="B1" s="14" t="s">
        <v>1</v>
      </c>
      <c r="C1" s="15" t="s">
        <v>2</v>
      </c>
    </row>
    <row r="2" spans="1:3" x14ac:dyDescent="0.25">
      <c r="A2" s="17" t="s">
        <v>527</v>
      </c>
      <c r="B2" s="17"/>
      <c r="C2" s="16" t="s">
        <v>569</v>
      </c>
    </row>
    <row r="3" spans="1:3" x14ac:dyDescent="0.25">
      <c r="A3" s="17" t="s">
        <v>528</v>
      </c>
      <c r="B3" s="17"/>
      <c r="C3" s="17" t="s">
        <v>570</v>
      </c>
    </row>
    <row r="4" spans="1:3" x14ac:dyDescent="0.25">
      <c r="A4" s="17" t="s">
        <v>529</v>
      </c>
      <c r="B4" s="17"/>
      <c r="C4" s="17" t="s">
        <v>498</v>
      </c>
    </row>
    <row r="5" spans="1:3" x14ac:dyDescent="0.25">
      <c r="A5" s="17" t="s">
        <v>530</v>
      </c>
      <c r="B5" s="17"/>
      <c r="C5" s="17" t="s">
        <v>571</v>
      </c>
    </row>
    <row r="6" spans="1:3" x14ac:dyDescent="0.25">
      <c r="A6" s="17" t="s">
        <v>531</v>
      </c>
      <c r="B6" s="17"/>
      <c r="C6" s="17" t="s">
        <v>572</v>
      </c>
    </row>
    <row r="7" spans="1:3" x14ac:dyDescent="0.25">
      <c r="A7" s="17" t="s">
        <v>532</v>
      </c>
      <c r="B7" s="17"/>
      <c r="C7" s="17" t="s">
        <v>573</v>
      </c>
    </row>
    <row r="8" spans="1:3" x14ac:dyDescent="0.25">
      <c r="A8" s="17" t="s">
        <v>533</v>
      </c>
      <c r="B8" s="17"/>
      <c r="C8" s="16" t="s">
        <v>574</v>
      </c>
    </row>
    <row r="9" spans="1:3" x14ac:dyDescent="0.25">
      <c r="A9" s="17" t="s">
        <v>534</v>
      </c>
      <c r="B9" s="17"/>
      <c r="C9" s="17" t="s">
        <v>575</v>
      </c>
    </row>
    <row r="10" spans="1:3" x14ac:dyDescent="0.25">
      <c r="A10" s="17" t="s">
        <v>535</v>
      </c>
      <c r="B10" s="17"/>
      <c r="C10" s="17" t="s">
        <v>577</v>
      </c>
    </row>
    <row r="11" spans="1:3" x14ac:dyDescent="0.25">
      <c r="A11" s="17" t="s">
        <v>536</v>
      </c>
      <c r="B11" s="17"/>
      <c r="C11" s="17" t="s">
        <v>576</v>
      </c>
    </row>
    <row r="12" spans="1:3" x14ac:dyDescent="0.25">
      <c r="A12" s="17" t="s">
        <v>537</v>
      </c>
      <c r="B12" s="17"/>
      <c r="C12" s="17" t="s">
        <v>578</v>
      </c>
    </row>
    <row r="13" spans="1:3" x14ac:dyDescent="0.25">
      <c r="A13" s="17" t="s">
        <v>21</v>
      </c>
      <c r="B13" s="17"/>
      <c r="C13" s="34" t="s">
        <v>579</v>
      </c>
    </row>
    <row r="14" spans="1:3" x14ac:dyDescent="0.25">
      <c r="A14" s="17" t="s">
        <v>22</v>
      </c>
      <c r="B14" s="17"/>
      <c r="C14" s="17" t="s">
        <v>580</v>
      </c>
    </row>
    <row r="15" spans="1:3" x14ac:dyDescent="0.25">
      <c r="A15" s="17" t="s">
        <v>23</v>
      </c>
      <c r="B15" s="17" t="s">
        <v>581</v>
      </c>
      <c r="C15" s="17" t="s">
        <v>292</v>
      </c>
    </row>
    <row r="16" spans="1:3" x14ac:dyDescent="0.25">
      <c r="A16" s="17" t="s">
        <v>24</v>
      </c>
      <c r="B16" s="17" t="s">
        <v>210</v>
      </c>
      <c r="C16" s="17" t="s">
        <v>582</v>
      </c>
    </row>
    <row r="17" spans="1:3" ht="31.5" x14ac:dyDescent="0.25">
      <c r="A17" s="17" t="s">
        <v>538</v>
      </c>
      <c r="B17" s="17">
        <v>0</v>
      </c>
      <c r="C17" s="17" t="s">
        <v>583</v>
      </c>
    </row>
    <row r="18" spans="1:3" x14ac:dyDescent="0.25">
      <c r="A18" s="17" t="s">
        <v>33</v>
      </c>
      <c r="B18" s="17"/>
      <c r="C18" s="17" t="s">
        <v>584</v>
      </c>
    </row>
    <row r="19" spans="1:3" x14ac:dyDescent="0.25">
      <c r="A19" s="17" t="s">
        <v>539</v>
      </c>
      <c r="B19" s="17"/>
      <c r="C19" s="17" t="s">
        <v>585</v>
      </c>
    </row>
    <row r="20" spans="1:3" x14ac:dyDescent="0.25">
      <c r="A20" s="17" t="s">
        <v>540</v>
      </c>
      <c r="B20" s="17"/>
      <c r="C20" s="34" t="s">
        <v>586</v>
      </c>
    </row>
    <row r="21" spans="1:3" x14ac:dyDescent="0.25">
      <c r="A21" s="17" t="s">
        <v>541</v>
      </c>
      <c r="B21" s="17" t="s">
        <v>639</v>
      </c>
      <c r="C21" s="17"/>
    </row>
    <row r="22" spans="1:3" x14ac:dyDescent="0.25">
      <c r="A22" s="17" t="s">
        <v>542</v>
      </c>
      <c r="B22" s="17"/>
      <c r="C22" s="17" t="s">
        <v>587</v>
      </c>
    </row>
    <row r="23" spans="1:3" ht="63" x14ac:dyDescent="0.25">
      <c r="A23" s="17" t="s">
        <v>41</v>
      </c>
      <c r="B23" s="17" t="s">
        <v>588</v>
      </c>
      <c r="C23" s="17" t="s">
        <v>589</v>
      </c>
    </row>
    <row r="24" spans="1:3" x14ac:dyDescent="0.25">
      <c r="A24" s="17" t="s">
        <v>543</v>
      </c>
      <c r="B24" s="17" t="s">
        <v>590</v>
      </c>
      <c r="C24" s="34" t="s">
        <v>591</v>
      </c>
    </row>
    <row r="25" spans="1:3" x14ac:dyDescent="0.25">
      <c r="A25" s="17" t="s">
        <v>544</v>
      </c>
      <c r="B25" s="17" t="s">
        <v>590</v>
      </c>
      <c r="C25" s="34" t="s">
        <v>594</v>
      </c>
    </row>
    <row r="26" spans="1:3" x14ac:dyDescent="0.25">
      <c r="A26" s="17" t="s">
        <v>545</v>
      </c>
      <c r="B26" s="17"/>
      <c r="C26" s="34" t="s">
        <v>595</v>
      </c>
    </row>
    <row r="27" spans="1:3" x14ac:dyDescent="0.25">
      <c r="A27" s="17" t="s">
        <v>546</v>
      </c>
      <c r="B27" s="17"/>
      <c r="C27" s="34" t="s">
        <v>596</v>
      </c>
    </row>
    <row r="28" spans="1:3" x14ac:dyDescent="0.25">
      <c r="A28" s="17" t="s">
        <v>61</v>
      </c>
      <c r="B28" s="17"/>
      <c r="C28" s="3" t="s">
        <v>291</v>
      </c>
    </row>
    <row r="29" spans="1:3" x14ac:dyDescent="0.25">
      <c r="A29" s="17" t="s">
        <v>547</v>
      </c>
      <c r="B29" s="17" t="s">
        <v>568</v>
      </c>
      <c r="C29" s="17"/>
    </row>
    <row r="30" spans="1:3" x14ac:dyDescent="0.25">
      <c r="A30" s="17" t="s">
        <v>87</v>
      </c>
      <c r="B30" s="17"/>
      <c r="C30" s="17" t="s">
        <v>380</v>
      </c>
    </row>
    <row r="31" spans="1:3" ht="31.5" x14ac:dyDescent="0.25">
      <c r="A31" s="17" t="s">
        <v>548</v>
      </c>
      <c r="B31" s="17"/>
      <c r="C31" s="34" t="s">
        <v>597</v>
      </c>
    </row>
    <row r="32" spans="1:3" x14ac:dyDescent="0.25">
      <c r="A32" s="17" t="s">
        <v>101</v>
      </c>
      <c r="B32" s="17"/>
      <c r="C32" s="17" t="s">
        <v>353</v>
      </c>
    </row>
    <row r="33" spans="1:3" x14ac:dyDescent="0.25">
      <c r="A33" s="17" t="s">
        <v>549</v>
      </c>
      <c r="B33" s="17"/>
      <c r="C33" s="17" t="s">
        <v>598</v>
      </c>
    </row>
    <row r="34" spans="1:3" x14ac:dyDescent="0.25">
      <c r="A34" s="17" t="s">
        <v>550</v>
      </c>
      <c r="B34" s="17"/>
      <c r="C34" s="17" t="s">
        <v>599</v>
      </c>
    </row>
    <row r="35" spans="1:3" x14ac:dyDescent="0.25">
      <c r="A35" s="17" t="s">
        <v>106</v>
      </c>
      <c r="B35" s="17"/>
      <c r="C35" s="17" t="s">
        <v>600</v>
      </c>
    </row>
    <row r="36" spans="1:3" x14ac:dyDescent="0.25">
      <c r="A36" s="17" t="s">
        <v>131</v>
      </c>
      <c r="B36" s="17"/>
      <c r="C36" s="34" t="s">
        <v>601</v>
      </c>
    </row>
    <row r="37" spans="1:3" x14ac:dyDescent="0.25">
      <c r="A37" s="17" t="s">
        <v>551</v>
      </c>
      <c r="B37" s="17" t="s">
        <v>602</v>
      </c>
      <c r="C37" s="17" t="s">
        <v>603</v>
      </c>
    </row>
    <row r="38" spans="1:3" x14ac:dyDescent="0.25">
      <c r="A38" s="17" t="s">
        <v>552</v>
      </c>
      <c r="B38" s="17" t="s">
        <v>602</v>
      </c>
      <c r="C38" s="17" t="s">
        <v>604</v>
      </c>
    </row>
    <row r="39" spans="1:3" x14ac:dyDescent="0.25">
      <c r="A39" s="17" t="s">
        <v>553</v>
      </c>
      <c r="B39" s="17" t="s">
        <v>602</v>
      </c>
      <c r="C39" s="17" t="s">
        <v>606</v>
      </c>
    </row>
    <row r="40" spans="1:3" x14ac:dyDescent="0.25">
      <c r="A40" s="17" t="s">
        <v>554</v>
      </c>
      <c r="B40" s="17" t="s">
        <v>602</v>
      </c>
      <c r="C40" s="17" t="s">
        <v>605</v>
      </c>
    </row>
    <row r="41" spans="1:3" x14ac:dyDescent="0.25">
      <c r="A41" s="17" t="s">
        <v>555</v>
      </c>
      <c r="B41" s="17" t="s">
        <v>602</v>
      </c>
      <c r="C41" s="17" t="s">
        <v>607</v>
      </c>
    </row>
    <row r="42" spans="1:3" x14ac:dyDescent="0.25">
      <c r="A42" s="17" t="s">
        <v>556</v>
      </c>
      <c r="B42" s="17" t="s">
        <v>602</v>
      </c>
      <c r="C42" s="17" t="s">
        <v>608</v>
      </c>
    </row>
    <row r="43" spans="1:3" x14ac:dyDescent="0.25">
      <c r="A43" s="17" t="s">
        <v>557</v>
      </c>
      <c r="B43" s="17" t="s">
        <v>602</v>
      </c>
      <c r="C43" s="17" t="s">
        <v>609</v>
      </c>
    </row>
    <row r="44" spans="1:3" x14ac:dyDescent="0.25">
      <c r="A44" s="17" t="s">
        <v>180</v>
      </c>
      <c r="B44" s="17" t="s">
        <v>642</v>
      </c>
      <c r="C44" s="17" t="s">
        <v>610</v>
      </c>
    </row>
    <row r="45" spans="1:3" x14ac:dyDescent="0.25">
      <c r="A45" s="17" t="s">
        <v>558</v>
      </c>
      <c r="B45" s="17"/>
      <c r="C45" s="34" t="s">
        <v>611</v>
      </c>
    </row>
    <row r="46" spans="1:3" x14ac:dyDescent="0.25">
      <c r="A46" s="17" t="s">
        <v>559</v>
      </c>
      <c r="B46" s="17" t="s">
        <v>639</v>
      </c>
      <c r="C46" s="17"/>
    </row>
    <row r="47" spans="1:3" x14ac:dyDescent="0.25">
      <c r="A47" s="17" t="s">
        <v>560</v>
      </c>
      <c r="B47" s="17" t="s">
        <v>612</v>
      </c>
      <c r="C47" s="17" t="s">
        <v>292</v>
      </c>
    </row>
    <row r="48" spans="1:3" x14ac:dyDescent="0.25">
      <c r="A48" s="17" t="s">
        <v>561</v>
      </c>
      <c r="B48" s="17"/>
      <c r="C48" s="37" t="s">
        <v>632</v>
      </c>
    </row>
    <row r="49" spans="1:3" x14ac:dyDescent="0.25">
      <c r="A49" s="17" t="s">
        <v>562</v>
      </c>
      <c r="B49" s="17" t="s">
        <v>303</v>
      </c>
      <c r="C49" s="18"/>
    </row>
    <row r="50" spans="1:3" x14ac:dyDescent="0.25">
      <c r="A50" s="17" t="s">
        <v>563</v>
      </c>
      <c r="B50" s="17"/>
      <c r="C50" s="17" t="s">
        <v>613</v>
      </c>
    </row>
    <row r="51" spans="1:3" x14ac:dyDescent="0.25">
      <c r="A51" s="17" t="s">
        <v>564</v>
      </c>
      <c r="B51" s="17" t="s">
        <v>614</v>
      </c>
      <c r="C51" s="17"/>
    </row>
    <row r="52" spans="1:3" x14ac:dyDescent="0.25">
      <c r="A52" s="17" t="s">
        <v>565</v>
      </c>
      <c r="B52" s="17" t="s">
        <v>642</v>
      </c>
      <c r="C52" s="17"/>
    </row>
    <row r="53" spans="1:3" x14ac:dyDescent="0.25">
      <c r="A53" s="17" t="s">
        <v>198</v>
      </c>
      <c r="B53" s="17"/>
      <c r="C53" s="17" t="s">
        <v>497</v>
      </c>
    </row>
    <row r="54" spans="1:3" x14ac:dyDescent="0.25">
      <c r="A54" s="17" t="s">
        <v>566</v>
      </c>
      <c r="B54" s="17" t="s">
        <v>494</v>
      </c>
      <c r="C54" s="17" t="s">
        <v>615</v>
      </c>
    </row>
    <row r="55" spans="1:3" x14ac:dyDescent="0.25">
      <c r="A55" s="17" t="s">
        <v>202</v>
      </c>
      <c r="B55" s="1" t="s">
        <v>331</v>
      </c>
      <c r="C55" s="6" t="s">
        <v>503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D97D1-1879-DD44-BDB1-460E3B4677B0}">
  <dimension ref="A1:C8"/>
  <sheetViews>
    <sheetView workbookViewId="0">
      <selection activeCell="B7" sqref="B7"/>
    </sheetView>
  </sheetViews>
  <sheetFormatPr defaultColWidth="11" defaultRowHeight="15.75" x14ac:dyDescent="0.25"/>
  <cols>
    <col min="1" max="1" width="26.125" style="1" customWidth="1"/>
    <col min="2" max="2" width="58" style="1" customWidth="1"/>
    <col min="3" max="3" width="92.75" style="17" customWidth="1"/>
  </cols>
  <sheetData>
    <row r="1" spans="1:3" x14ac:dyDescent="0.25">
      <c r="A1" s="13" t="s">
        <v>0</v>
      </c>
      <c r="B1" s="14" t="s">
        <v>1</v>
      </c>
      <c r="C1" s="15" t="s">
        <v>2</v>
      </c>
    </row>
    <row r="2" spans="1:3" x14ac:dyDescent="0.25">
      <c r="A2" s="1" t="s">
        <v>238</v>
      </c>
      <c r="B2" s="1">
        <v>300</v>
      </c>
      <c r="C2" s="16" t="s">
        <v>239</v>
      </c>
    </row>
    <row r="3" spans="1:3" x14ac:dyDescent="0.25">
      <c r="A3" s="1" t="s">
        <v>240</v>
      </c>
      <c r="C3" s="17" t="s">
        <v>241</v>
      </c>
    </row>
    <row r="4" spans="1:3" ht="31.5" x14ac:dyDescent="0.25">
      <c r="A4" s="1" t="s">
        <v>242</v>
      </c>
      <c r="B4" s="19" t="s">
        <v>243</v>
      </c>
      <c r="C4" s="18" t="s">
        <v>244</v>
      </c>
    </row>
    <row r="5" spans="1:3" x14ac:dyDescent="0.25">
      <c r="A5" s="1" t="s">
        <v>245</v>
      </c>
      <c r="B5" s="1" t="s">
        <v>643</v>
      </c>
      <c r="C5" s="18"/>
    </row>
    <row r="6" spans="1:3" x14ac:dyDescent="0.25">
      <c r="A6" s="1" t="s">
        <v>246</v>
      </c>
      <c r="B6" s="1" t="s">
        <v>644</v>
      </c>
      <c r="C6" s="18"/>
    </row>
    <row r="7" spans="1:3" x14ac:dyDescent="0.25">
      <c r="A7" s="1" t="s">
        <v>250</v>
      </c>
      <c r="B7" s="1" t="s">
        <v>633</v>
      </c>
      <c r="C7" s="20" t="s">
        <v>338</v>
      </c>
    </row>
    <row r="8" spans="1:3" x14ac:dyDescent="0.25">
      <c r="A8" s="1" t="s">
        <v>251</v>
      </c>
      <c r="B8" s="1" t="s">
        <v>252</v>
      </c>
      <c r="C8" s="17" t="s">
        <v>360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C63C-4CB4-4C9C-A6F8-57F9934FC20C}">
  <dimension ref="A1:C18"/>
  <sheetViews>
    <sheetView workbookViewId="0"/>
  </sheetViews>
  <sheetFormatPr defaultRowHeight="15.75" x14ac:dyDescent="0.25"/>
  <cols>
    <col min="1" max="1" width="24.375" style="17" customWidth="1"/>
    <col min="2" max="2" width="53.5" style="17" customWidth="1"/>
    <col min="3" max="3" width="74.25" style="17" customWidth="1"/>
  </cols>
  <sheetData>
    <row r="1" spans="1:3" x14ac:dyDescent="0.25">
      <c r="A1" s="13" t="s">
        <v>0</v>
      </c>
      <c r="B1" s="14" t="s">
        <v>1</v>
      </c>
      <c r="C1" s="15" t="s">
        <v>2</v>
      </c>
    </row>
    <row r="2" spans="1:3" x14ac:dyDescent="0.25">
      <c r="A2" s="17" t="s">
        <v>309</v>
      </c>
      <c r="C2" s="17" t="s">
        <v>326</v>
      </c>
    </row>
    <row r="3" spans="1:3" x14ac:dyDescent="0.25">
      <c r="A3" s="17" t="s">
        <v>310</v>
      </c>
      <c r="C3" s="17" t="s">
        <v>327</v>
      </c>
    </row>
    <row r="4" spans="1:3" x14ac:dyDescent="0.25">
      <c r="A4" s="17" t="s">
        <v>311</v>
      </c>
      <c r="C4" s="17" t="s">
        <v>328</v>
      </c>
    </row>
    <row r="5" spans="1:3" x14ac:dyDescent="0.25">
      <c r="A5" s="17" t="s">
        <v>312</v>
      </c>
      <c r="B5" s="17" t="s">
        <v>331</v>
      </c>
      <c r="C5" s="17" t="s">
        <v>332</v>
      </c>
    </row>
    <row r="6" spans="1:3" x14ac:dyDescent="0.25">
      <c r="A6" s="17" t="s">
        <v>313</v>
      </c>
      <c r="B6" s="17" t="s">
        <v>331</v>
      </c>
      <c r="C6" s="17" t="s">
        <v>332</v>
      </c>
    </row>
    <row r="7" spans="1:3" x14ac:dyDescent="0.25">
      <c r="A7" s="17" t="s">
        <v>314</v>
      </c>
      <c r="B7" s="17" t="s">
        <v>331</v>
      </c>
      <c r="C7" s="17" t="s">
        <v>332</v>
      </c>
    </row>
    <row r="8" spans="1:3" x14ac:dyDescent="0.25">
      <c r="A8" s="17" t="s">
        <v>315</v>
      </c>
      <c r="C8" s="17" t="s">
        <v>334</v>
      </c>
    </row>
    <row r="9" spans="1:3" x14ac:dyDescent="0.25">
      <c r="A9" s="17" t="s">
        <v>316</v>
      </c>
      <c r="C9" s="17" t="s">
        <v>333</v>
      </c>
    </row>
    <row r="10" spans="1:3" x14ac:dyDescent="0.25">
      <c r="A10" s="17" t="s">
        <v>317</v>
      </c>
      <c r="B10" s="17" t="s">
        <v>494</v>
      </c>
      <c r="C10" s="17" t="s">
        <v>567</v>
      </c>
    </row>
    <row r="11" spans="1:3" x14ac:dyDescent="0.25">
      <c r="A11" s="17" t="s">
        <v>318</v>
      </c>
      <c r="C11" s="17" t="s">
        <v>241</v>
      </c>
    </row>
    <row r="12" spans="1:3" x14ac:dyDescent="0.25">
      <c r="A12" s="17" t="s">
        <v>319</v>
      </c>
      <c r="C12" s="17" t="s">
        <v>241</v>
      </c>
    </row>
    <row r="13" spans="1:3" x14ac:dyDescent="0.25">
      <c r="A13" s="17" t="s">
        <v>320</v>
      </c>
      <c r="C13" s="17" t="s">
        <v>241</v>
      </c>
    </row>
    <row r="14" spans="1:3" x14ac:dyDescent="0.25">
      <c r="A14" s="17" t="s">
        <v>321</v>
      </c>
      <c r="C14" s="17" t="s">
        <v>335</v>
      </c>
    </row>
    <row r="15" spans="1:3" x14ac:dyDescent="0.25">
      <c r="A15" s="17" t="s">
        <v>322</v>
      </c>
      <c r="C15" s="17" t="s">
        <v>335</v>
      </c>
    </row>
    <row r="16" spans="1:3" ht="47.25" x14ac:dyDescent="0.25">
      <c r="A16" s="17" t="s">
        <v>323</v>
      </c>
      <c r="C16" s="17" t="s">
        <v>629</v>
      </c>
    </row>
    <row r="17" spans="1:3" ht="31.5" x14ac:dyDescent="0.25">
      <c r="A17" s="17" t="s">
        <v>324</v>
      </c>
      <c r="C17" s="17" t="s">
        <v>336</v>
      </c>
    </row>
    <row r="18" spans="1:3" ht="47.25" x14ac:dyDescent="0.25">
      <c r="A18" s="17" t="s">
        <v>325</v>
      </c>
      <c r="C18" s="17" t="s">
        <v>337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94BE-6F5E-46DC-99A9-48BD90147CD6}">
  <dimension ref="A1:C12"/>
  <sheetViews>
    <sheetView workbookViewId="0">
      <selection activeCell="B7" sqref="B7"/>
    </sheetView>
  </sheetViews>
  <sheetFormatPr defaultRowHeight="15.75" x14ac:dyDescent="0.25"/>
  <cols>
    <col min="1" max="1" width="28.5" customWidth="1"/>
    <col min="2" max="2" width="44.375" customWidth="1"/>
    <col min="3" max="3" width="85.75" customWidth="1"/>
  </cols>
  <sheetData>
    <row r="1" spans="1:3" x14ac:dyDescent="0.25">
      <c r="A1" s="14" t="s">
        <v>0</v>
      </c>
      <c r="B1" s="14" t="s">
        <v>1</v>
      </c>
      <c r="C1" s="24" t="s">
        <v>2</v>
      </c>
    </row>
    <row r="2" spans="1:3" ht="31.5" x14ac:dyDescent="0.25">
      <c r="A2" s="22" t="s">
        <v>339</v>
      </c>
      <c r="B2" s="26" t="s">
        <v>350</v>
      </c>
      <c r="C2" s="22" t="s">
        <v>349</v>
      </c>
    </row>
    <row r="3" spans="1:3" x14ac:dyDescent="0.25">
      <c r="A3" s="23" t="s">
        <v>340</v>
      </c>
      <c r="B3" s="23" t="s">
        <v>617</v>
      </c>
      <c r="C3" s="35" t="s">
        <v>618</v>
      </c>
    </row>
    <row r="4" spans="1:3" ht="31.5" x14ac:dyDescent="0.25">
      <c r="A4" s="22" t="s">
        <v>341</v>
      </c>
      <c r="B4" s="22"/>
      <c r="C4" s="27" t="s">
        <v>352</v>
      </c>
    </row>
    <row r="5" spans="1:3" x14ac:dyDescent="0.25">
      <c r="A5" s="23" t="s">
        <v>342</v>
      </c>
      <c r="B5" s="23"/>
      <c r="C5" s="23" t="s">
        <v>353</v>
      </c>
    </row>
    <row r="6" spans="1:3" x14ac:dyDescent="0.25">
      <c r="A6" s="22" t="s">
        <v>343</v>
      </c>
      <c r="B6" s="22"/>
      <c r="C6" s="22" t="s">
        <v>354</v>
      </c>
    </row>
    <row r="7" spans="1:3" x14ac:dyDescent="0.25">
      <c r="A7" s="25" t="s">
        <v>344</v>
      </c>
      <c r="B7" s="25"/>
      <c r="C7" s="23" t="s">
        <v>353</v>
      </c>
    </row>
    <row r="8" spans="1:3" ht="31.5" x14ac:dyDescent="0.25">
      <c r="A8" s="25" t="s">
        <v>345</v>
      </c>
      <c r="B8" s="25"/>
      <c r="C8" s="25" t="s">
        <v>351</v>
      </c>
    </row>
    <row r="9" spans="1:3" x14ac:dyDescent="0.25">
      <c r="A9" s="25" t="s">
        <v>346</v>
      </c>
      <c r="B9" s="25"/>
      <c r="C9" s="25" t="s">
        <v>355</v>
      </c>
    </row>
    <row r="10" spans="1:3" x14ac:dyDescent="0.25">
      <c r="A10" s="25" t="s">
        <v>347</v>
      </c>
      <c r="B10" s="25"/>
      <c r="C10" s="25" t="s">
        <v>356</v>
      </c>
    </row>
    <row r="11" spans="1:3" x14ac:dyDescent="0.25">
      <c r="A11" s="25" t="s">
        <v>213</v>
      </c>
      <c r="B11" s="25"/>
      <c r="C11" s="25" t="s">
        <v>357</v>
      </c>
    </row>
    <row r="12" spans="1:3" ht="31.5" x14ac:dyDescent="0.25">
      <c r="A12" s="25" t="s">
        <v>348</v>
      </c>
      <c r="B12" s="28" t="s">
        <v>358</v>
      </c>
      <c r="C12" s="29" t="s">
        <v>359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FA741-DED9-4640-8B24-C077815442EB}">
  <dimension ref="A1:C3"/>
  <sheetViews>
    <sheetView workbookViewId="0">
      <selection activeCell="C9" sqref="C9"/>
    </sheetView>
  </sheetViews>
  <sheetFormatPr defaultColWidth="11" defaultRowHeight="15.75" x14ac:dyDescent="0.25"/>
  <cols>
    <col min="1" max="1" width="26.125" style="1" customWidth="1"/>
    <col min="2" max="2" width="58" style="1" customWidth="1"/>
    <col min="3" max="3" width="69.875" style="17" customWidth="1"/>
  </cols>
  <sheetData>
    <row r="1" spans="1:3" x14ac:dyDescent="0.25">
      <c r="A1" s="13" t="s">
        <v>0</v>
      </c>
      <c r="B1" s="14" t="s">
        <v>1</v>
      </c>
      <c r="C1" s="15" t="s">
        <v>2</v>
      </c>
    </row>
    <row r="2" spans="1:3" ht="31.5" x14ac:dyDescent="0.25">
      <c r="A2" s="1" t="s">
        <v>636</v>
      </c>
      <c r="B2" s="1" t="s">
        <v>637</v>
      </c>
      <c r="C2" s="37" t="s">
        <v>638</v>
      </c>
    </row>
    <row r="3" spans="1:3" x14ac:dyDescent="0.25">
      <c r="C3" s="1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0532-AA18-42CC-BD4B-D68135552CF3}">
  <dimension ref="A1:C6"/>
  <sheetViews>
    <sheetView workbookViewId="0">
      <selection activeCell="C4" sqref="C4"/>
    </sheetView>
  </sheetViews>
  <sheetFormatPr defaultRowHeight="15.75" x14ac:dyDescent="0.25"/>
  <cols>
    <col min="1" max="1" width="29.875" customWidth="1"/>
    <col min="2" max="2" width="44.875" customWidth="1"/>
    <col min="3" max="3" width="78.125" customWidth="1"/>
  </cols>
  <sheetData>
    <row r="1" spans="1:3" x14ac:dyDescent="0.25">
      <c r="A1" s="13" t="s">
        <v>0</v>
      </c>
      <c r="B1" s="14" t="s">
        <v>1</v>
      </c>
      <c r="C1" s="15" t="s">
        <v>2</v>
      </c>
    </row>
    <row r="2" spans="1:3" x14ac:dyDescent="0.25">
      <c r="A2" t="s">
        <v>366</v>
      </c>
      <c r="B2" t="s">
        <v>371</v>
      </c>
      <c r="C2" t="s">
        <v>616</v>
      </c>
    </row>
    <row r="3" spans="1:3" x14ac:dyDescent="0.25">
      <c r="A3" t="s">
        <v>367</v>
      </c>
      <c r="C3" t="s">
        <v>372</v>
      </c>
    </row>
    <row r="4" spans="1:3" x14ac:dyDescent="0.25">
      <c r="A4" t="s">
        <v>368</v>
      </c>
      <c r="C4" t="s">
        <v>260</v>
      </c>
    </row>
    <row r="5" spans="1:3" x14ac:dyDescent="0.25">
      <c r="A5" t="s">
        <v>369</v>
      </c>
      <c r="C5" s="8" t="s">
        <v>373</v>
      </c>
    </row>
    <row r="6" spans="1:3" x14ac:dyDescent="0.25">
      <c r="A6" t="s">
        <v>370</v>
      </c>
      <c r="C6" s="8" t="s">
        <v>373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A4CA-1F51-45A9-862F-88BC5EBFECB4}">
  <dimension ref="A1:C3"/>
  <sheetViews>
    <sheetView workbookViewId="0">
      <selection activeCell="A7" sqref="A7"/>
    </sheetView>
  </sheetViews>
  <sheetFormatPr defaultRowHeight="15.75" x14ac:dyDescent="0.25"/>
  <cols>
    <col min="1" max="1" width="29.875" customWidth="1"/>
    <col min="2" max="2" width="44.875" customWidth="1"/>
    <col min="3" max="3" width="78.125" customWidth="1"/>
  </cols>
  <sheetData>
    <row r="1" spans="1:3" x14ac:dyDescent="0.25">
      <c r="A1" s="13" t="s">
        <v>0</v>
      </c>
      <c r="B1" s="14" t="s">
        <v>1</v>
      </c>
      <c r="C1" s="15" t="s">
        <v>2</v>
      </c>
    </row>
    <row r="2" spans="1:3" x14ac:dyDescent="0.25">
      <c r="A2" t="s">
        <v>213</v>
      </c>
      <c r="C2" t="s">
        <v>377</v>
      </c>
    </row>
    <row r="3" spans="1:3" x14ac:dyDescent="0.25">
      <c r="A3" t="s">
        <v>174</v>
      </c>
      <c r="C3" t="s">
        <v>378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3EB62-6C8B-4856-A8AC-4B3DCC24146F}">
  <dimension ref="A1:C13"/>
  <sheetViews>
    <sheetView workbookViewId="0">
      <selection activeCell="F10" sqref="F10"/>
    </sheetView>
  </sheetViews>
  <sheetFormatPr defaultRowHeight="15.75" x14ac:dyDescent="0.25"/>
  <cols>
    <col min="1" max="1" width="29.875" customWidth="1"/>
    <col min="2" max="2" width="44.875" customWidth="1"/>
    <col min="3" max="3" width="78.125" customWidth="1"/>
  </cols>
  <sheetData>
    <row r="1" spans="1:3" x14ac:dyDescent="0.25">
      <c r="A1" s="13" t="s">
        <v>0</v>
      </c>
      <c r="B1" s="14" t="s">
        <v>1</v>
      </c>
      <c r="C1" s="15" t="s">
        <v>2</v>
      </c>
    </row>
    <row r="2" spans="1:3" x14ac:dyDescent="0.25">
      <c r="A2" t="s">
        <v>394</v>
      </c>
      <c r="C2" s="8" t="s">
        <v>411</v>
      </c>
    </row>
    <row r="3" spans="1:3" x14ac:dyDescent="0.25">
      <c r="A3" t="s">
        <v>395</v>
      </c>
      <c r="C3" s="8" t="s">
        <v>411</v>
      </c>
    </row>
    <row r="4" spans="1:3" x14ac:dyDescent="0.25">
      <c r="A4" t="s">
        <v>396</v>
      </c>
      <c r="C4" s="8" t="s">
        <v>411</v>
      </c>
    </row>
    <row r="5" spans="1:3" x14ac:dyDescent="0.25">
      <c r="A5" t="s">
        <v>397</v>
      </c>
      <c r="C5" s="8" t="s">
        <v>411</v>
      </c>
    </row>
    <row r="6" spans="1:3" x14ac:dyDescent="0.25">
      <c r="A6" t="s">
        <v>398</v>
      </c>
      <c r="C6" s="8" t="s">
        <v>411</v>
      </c>
    </row>
    <row r="7" spans="1:3" x14ac:dyDescent="0.25">
      <c r="A7" t="s">
        <v>399</v>
      </c>
      <c r="C7" s="8" t="s">
        <v>411</v>
      </c>
    </row>
    <row r="8" spans="1:3" x14ac:dyDescent="0.25">
      <c r="A8" t="s">
        <v>400</v>
      </c>
      <c r="C8" s="8" t="s">
        <v>411</v>
      </c>
    </row>
    <row r="9" spans="1:3" x14ac:dyDescent="0.25">
      <c r="A9" t="s">
        <v>401</v>
      </c>
      <c r="C9" s="8" t="s">
        <v>411</v>
      </c>
    </row>
    <row r="10" spans="1:3" x14ac:dyDescent="0.25">
      <c r="A10" t="s">
        <v>402</v>
      </c>
      <c r="C10" s="8" t="s">
        <v>411</v>
      </c>
    </row>
    <row r="11" spans="1:3" x14ac:dyDescent="0.25">
      <c r="A11" t="s">
        <v>403</v>
      </c>
      <c r="C11" s="8" t="s">
        <v>411</v>
      </c>
    </row>
    <row r="12" spans="1:3" x14ac:dyDescent="0.25">
      <c r="A12" t="s">
        <v>404</v>
      </c>
      <c r="C12" s="8" t="s">
        <v>411</v>
      </c>
    </row>
    <row r="13" spans="1:3" x14ac:dyDescent="0.25">
      <c r="A13" t="s">
        <v>405</v>
      </c>
      <c r="C13" s="8" t="s">
        <v>411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DB1D-4DD4-4B05-843E-1C4D27D1B3C8}">
  <dimension ref="A1:C3"/>
  <sheetViews>
    <sheetView workbookViewId="0">
      <selection activeCell="C8" sqref="C8"/>
    </sheetView>
  </sheetViews>
  <sheetFormatPr defaultRowHeight="15.75" x14ac:dyDescent="0.25"/>
  <cols>
    <col min="1" max="1" width="29.875" customWidth="1"/>
    <col min="2" max="2" width="44.875" customWidth="1"/>
    <col min="3" max="3" width="121.5" customWidth="1"/>
  </cols>
  <sheetData>
    <row r="1" spans="1:3" x14ac:dyDescent="0.25">
      <c r="A1" s="13" t="s">
        <v>0</v>
      </c>
      <c r="B1" s="14" t="s">
        <v>1</v>
      </c>
      <c r="C1" s="15" t="s">
        <v>2</v>
      </c>
    </row>
    <row r="2" spans="1:3" ht="31.5" x14ac:dyDescent="0.25">
      <c r="A2" s="11"/>
      <c r="B2" s="11"/>
      <c r="C2" s="17" t="s">
        <v>412</v>
      </c>
    </row>
    <row r="3" spans="1:3" x14ac:dyDescent="0.25">
      <c r="A3" s="11"/>
      <c r="B3" s="11"/>
      <c r="C3" s="1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vt:lpstr>
      <vt:lpstr>slurm.conf</vt:lpstr>
      <vt:lpstr>slurmdbd.conf</vt:lpstr>
      <vt:lpstr>acct_gather.conf</vt:lpstr>
      <vt:lpstr>cgroup.conf</vt:lpstr>
      <vt:lpstr>job_container.conf</vt:lpstr>
      <vt:lpstr>topology.conf</vt:lpstr>
      <vt:lpstr>x helpers.conf</vt:lpstr>
      <vt:lpstr>x nss_slurm.conf</vt:lpstr>
      <vt:lpstr>x mpi.conf</vt:lpstr>
      <vt:lpstr>x plugstack.conf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Carlos Sequeira da Costa</dc:creator>
  <cp:lastModifiedBy>João Sequeira</cp:lastModifiedBy>
  <dcterms:created xsi:type="dcterms:W3CDTF">2025-01-19T15:05:26Z</dcterms:created>
  <dcterms:modified xsi:type="dcterms:W3CDTF">2025-06-20T10:07:06Z</dcterms:modified>
</cp:coreProperties>
</file>